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manuelcarreira/Desktop/"/>
    </mc:Choice>
  </mc:AlternateContent>
  <xr:revisionPtr revIDLastSave="0" documentId="8_{90476F2B-D392-AB46-8FCB-68B42B20A583}" xr6:coauthVersionLast="47" xr6:coauthVersionMax="47" xr10:uidLastSave="{00000000-0000-0000-0000-000000000000}"/>
  <bookViews>
    <workbookView xWindow="0" yWindow="500" windowWidth="16380" windowHeight="8200" tabRatio="500" xr2:uid="{00000000-000D-0000-FFFF-FFFF00000000}"/>
  </bookViews>
  <sheets>
    <sheet name="Capa_Cover" sheetId="1" r:id="rId1"/>
    <sheet name="Pressupostos_Assumpt" sheetId="2" r:id="rId2"/>
    <sheet name="Financiamento_Loan" sheetId="3" r:id="rId3"/>
    <sheet name="Receita_Revenue" sheetId="4" r:id="rId4"/>
    <sheet name="Custos_Costs" sheetId="5" r:id="rId5"/>
    <sheet name="DRE_PL" sheetId="6" r:id="rId6"/>
    <sheet name="Resumo_Multianual" sheetId="7" r:id="rId7"/>
    <sheet name="Tesouraria_CashFlow" sheetId="8" r:id="rId8"/>
    <sheet name="PontoCritico_BreakEven" sheetId="9" r:id="rId9"/>
    <sheet name="Sensibilidades" sheetId="10" r:id="rId10"/>
    <sheet name="Quilometragem_Mileage" sheetId="11" r:id="rId11"/>
    <sheet name="Venda_Resale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12" l="1"/>
  <c r="C6" i="11"/>
  <c r="C5" i="11"/>
  <c r="O9" i="8"/>
  <c r="C9" i="8"/>
  <c r="C45" i="7"/>
  <c r="C43" i="7"/>
  <c r="M10" i="6"/>
  <c r="I9" i="6"/>
  <c r="E24" i="5"/>
  <c r="E12" i="6" s="1"/>
  <c r="H22" i="5"/>
  <c r="H10" i="6" s="1"/>
  <c r="E22" i="5"/>
  <c r="E10" i="6" s="1"/>
  <c r="N21" i="5"/>
  <c r="M21" i="5"/>
  <c r="M22" i="5" s="1"/>
  <c r="L21" i="5"/>
  <c r="K21" i="5"/>
  <c r="J21" i="5"/>
  <c r="J22" i="5" s="1"/>
  <c r="J10" i="6" s="1"/>
  <c r="I21" i="5"/>
  <c r="H21" i="5"/>
  <c r="G21" i="5"/>
  <c r="F21" i="5"/>
  <c r="E21" i="5"/>
  <c r="D21" i="5"/>
  <c r="O21" i="5" s="1"/>
  <c r="C21" i="5"/>
  <c r="N20" i="5"/>
  <c r="M20" i="5"/>
  <c r="L20" i="5"/>
  <c r="K20" i="5"/>
  <c r="J20" i="5"/>
  <c r="I20" i="5"/>
  <c r="H20" i="5"/>
  <c r="G20" i="5"/>
  <c r="G22" i="5" s="1"/>
  <c r="G10" i="6" s="1"/>
  <c r="F20" i="5"/>
  <c r="E20" i="5"/>
  <c r="D20" i="5"/>
  <c r="C20" i="5"/>
  <c r="N19" i="5"/>
  <c r="N22" i="5" s="1"/>
  <c r="N10" i="6" s="1"/>
  <c r="M19" i="5"/>
  <c r="L19" i="5"/>
  <c r="K19" i="5"/>
  <c r="K22" i="5" s="1"/>
  <c r="K10" i="6" s="1"/>
  <c r="J19" i="5"/>
  <c r="I19" i="5"/>
  <c r="H19" i="5"/>
  <c r="G19" i="5"/>
  <c r="F19" i="5"/>
  <c r="F22" i="5" s="1"/>
  <c r="F10" i="6" s="1"/>
  <c r="E19" i="5"/>
  <c r="D19" i="5"/>
  <c r="C19" i="5"/>
  <c r="L17" i="5"/>
  <c r="L9" i="6" s="1"/>
  <c r="I17" i="5"/>
  <c r="D17" i="5"/>
  <c r="D9" i="6" s="1"/>
  <c r="C17" i="5"/>
  <c r="N16" i="5"/>
  <c r="M16" i="5"/>
  <c r="L16" i="5"/>
  <c r="K16" i="5"/>
  <c r="J16" i="5"/>
  <c r="I16" i="5"/>
  <c r="H16" i="5"/>
  <c r="G16" i="5"/>
  <c r="F16" i="5"/>
  <c r="E16" i="5"/>
  <c r="D16" i="5"/>
  <c r="C16" i="5"/>
  <c r="N15" i="5"/>
  <c r="M15" i="5"/>
  <c r="L15" i="5"/>
  <c r="K15" i="5"/>
  <c r="J15" i="5"/>
  <c r="I15" i="5"/>
  <c r="H15" i="5"/>
  <c r="G15" i="5"/>
  <c r="F15" i="5"/>
  <c r="E15" i="5"/>
  <c r="D15" i="5"/>
  <c r="C15" i="5"/>
  <c r="N14" i="5"/>
  <c r="M14" i="5"/>
  <c r="L14" i="5"/>
  <c r="K14" i="5"/>
  <c r="J14" i="5"/>
  <c r="I14" i="5"/>
  <c r="H14" i="5"/>
  <c r="G14" i="5"/>
  <c r="F14" i="5"/>
  <c r="E14" i="5"/>
  <c r="D14" i="5"/>
  <c r="C14" i="5"/>
  <c r="N13" i="5"/>
  <c r="M13" i="5"/>
  <c r="L13" i="5"/>
  <c r="K13" i="5"/>
  <c r="J13" i="5"/>
  <c r="I13" i="5"/>
  <c r="H13" i="5"/>
  <c r="H17" i="5" s="1"/>
  <c r="H9" i="6" s="1"/>
  <c r="G13" i="5"/>
  <c r="F13" i="5"/>
  <c r="E13" i="5"/>
  <c r="D13" i="5"/>
  <c r="C13" i="5"/>
  <c r="N12" i="5"/>
  <c r="M12" i="5"/>
  <c r="L12" i="5"/>
  <c r="K12" i="5"/>
  <c r="J12" i="5"/>
  <c r="I12" i="5"/>
  <c r="H12" i="5"/>
  <c r="G12" i="5"/>
  <c r="F12" i="5"/>
  <c r="E12" i="5"/>
  <c r="D12" i="5"/>
  <c r="C12" i="5"/>
  <c r="N11" i="5"/>
  <c r="M11" i="5"/>
  <c r="L11" i="5"/>
  <c r="K11" i="5"/>
  <c r="J11" i="5"/>
  <c r="I11" i="5"/>
  <c r="H11" i="5"/>
  <c r="G11" i="5"/>
  <c r="G17" i="5" s="1"/>
  <c r="G9" i="6" s="1"/>
  <c r="F11" i="5"/>
  <c r="E11" i="5"/>
  <c r="D11" i="5"/>
  <c r="C11" i="5"/>
  <c r="M15" i="4"/>
  <c r="M8" i="5" s="1"/>
  <c r="E15" i="4"/>
  <c r="E8" i="5" s="1"/>
  <c r="M11" i="4"/>
  <c r="M12" i="4" s="1"/>
  <c r="L11" i="4"/>
  <c r="H11" i="4"/>
  <c r="H15" i="4" s="1"/>
  <c r="H8" i="5" s="1"/>
  <c r="E11" i="4"/>
  <c r="E12" i="4" s="1"/>
  <c r="N10" i="4"/>
  <c r="M10" i="4"/>
  <c r="L10" i="4"/>
  <c r="K10" i="4"/>
  <c r="J10" i="4"/>
  <c r="I10" i="4"/>
  <c r="H10" i="4"/>
  <c r="G10" i="4"/>
  <c r="F10" i="4"/>
  <c r="E10" i="4"/>
  <c r="D10" i="4"/>
  <c r="O10" i="4" s="1"/>
  <c r="C10" i="4"/>
  <c r="N9" i="4"/>
  <c r="M9" i="4"/>
  <c r="L9" i="4"/>
  <c r="K9" i="4"/>
  <c r="J9" i="4"/>
  <c r="J11" i="4" s="1"/>
  <c r="I9" i="4"/>
  <c r="H9" i="4"/>
  <c r="G9" i="4"/>
  <c r="F9" i="4"/>
  <c r="O9" i="4" s="1"/>
  <c r="E9" i="4"/>
  <c r="D9" i="4"/>
  <c r="C9" i="4"/>
  <c r="N8" i="4"/>
  <c r="M8" i="4"/>
  <c r="L8" i="4"/>
  <c r="K8" i="4"/>
  <c r="K11" i="4" s="1"/>
  <c r="K12" i="4" s="1"/>
  <c r="J8" i="4"/>
  <c r="I8" i="4"/>
  <c r="H8" i="4"/>
  <c r="G8" i="4"/>
  <c r="G11" i="4" s="1"/>
  <c r="F8" i="4"/>
  <c r="E8" i="4"/>
  <c r="D8" i="4"/>
  <c r="D11" i="4" s="1"/>
  <c r="C8" i="4"/>
  <c r="C11" i="4" s="1"/>
  <c r="C15" i="4" s="1"/>
  <c r="O7" i="4"/>
  <c r="C7" i="3"/>
  <c r="C6" i="3"/>
  <c r="C64" i="2"/>
  <c r="C15" i="2"/>
  <c r="G24" i="5" s="1"/>
  <c r="G12" i="6" s="1"/>
  <c r="C10" i="2"/>
  <c r="C12" i="8" s="1"/>
  <c r="O12" i="8" s="1"/>
  <c r="C9" i="2"/>
  <c r="C12" i="1"/>
  <c r="C9" i="1"/>
  <c r="C7" i="1"/>
  <c r="M13" i="4" l="1"/>
  <c r="M14" i="4" s="1"/>
  <c r="J15" i="4"/>
  <c r="J8" i="5" s="1"/>
  <c r="J12" i="4"/>
  <c r="K13" i="4"/>
  <c r="K14" i="4" s="1"/>
  <c r="D12" i="4"/>
  <c r="D15" i="4"/>
  <c r="D8" i="5" s="1"/>
  <c r="G15" i="4"/>
  <c r="G8" i="5" s="1"/>
  <c r="G12" i="4"/>
  <c r="E14" i="4"/>
  <c r="E13" i="4"/>
  <c r="H12" i="4"/>
  <c r="K15" i="4"/>
  <c r="K8" i="5" s="1"/>
  <c r="C22" i="5"/>
  <c r="O19" i="5"/>
  <c r="O20" i="5"/>
  <c r="F11" i="4"/>
  <c r="N11" i="4"/>
  <c r="J17" i="5"/>
  <c r="J9" i="6" s="1"/>
  <c r="O12" i="5"/>
  <c r="D22" i="5"/>
  <c r="D10" i="6" s="1"/>
  <c r="L22" i="5"/>
  <c r="L10" i="6" s="1"/>
  <c r="O8" i="4"/>
  <c r="L15" i="4"/>
  <c r="L8" i="5" s="1"/>
  <c r="L12" i="4"/>
  <c r="C5" i="3"/>
  <c r="C8" i="1"/>
  <c r="C9" i="6"/>
  <c r="O11" i="4"/>
  <c r="E17" i="5"/>
  <c r="E9" i="6" s="1"/>
  <c r="M17" i="5"/>
  <c r="M9" i="6" s="1"/>
  <c r="O13" i="5"/>
  <c r="O15" i="5"/>
  <c r="I11" i="4"/>
  <c r="H16" i="12"/>
  <c r="L24" i="5"/>
  <c r="L12" i="6" s="1"/>
  <c r="D24" i="5"/>
  <c r="D12" i="6" s="1"/>
  <c r="G16" i="12"/>
  <c r="I8" i="12"/>
  <c r="F16" i="12"/>
  <c r="H8" i="12"/>
  <c r="E16" i="12"/>
  <c r="G8" i="12"/>
  <c r="I24" i="5"/>
  <c r="I12" i="6" s="1"/>
  <c r="D16" i="12"/>
  <c r="F8" i="12"/>
  <c r="C16" i="12"/>
  <c r="E8" i="12"/>
  <c r="D8" i="12"/>
  <c r="N24" i="5"/>
  <c r="N12" i="6" s="1"/>
  <c r="F24" i="5"/>
  <c r="F12" i="6" s="1"/>
  <c r="I16" i="12"/>
  <c r="C8" i="12"/>
  <c r="C24" i="5"/>
  <c r="M24" i="5"/>
  <c r="M12" i="6" s="1"/>
  <c r="K24" i="5"/>
  <c r="K12" i="6" s="1"/>
  <c r="H24" i="5"/>
  <c r="H12" i="6" s="1"/>
  <c r="C12" i="4"/>
  <c r="F17" i="5"/>
  <c r="F9" i="6" s="1"/>
  <c r="N17" i="5"/>
  <c r="N9" i="6" s="1"/>
  <c r="J24" i="5"/>
  <c r="J12" i="6" s="1"/>
  <c r="O11" i="5"/>
  <c r="I22" i="5"/>
  <c r="I10" i="6" s="1"/>
  <c r="C8" i="5"/>
  <c r="O14" i="5"/>
  <c r="K17" i="5"/>
  <c r="K9" i="6" s="1"/>
  <c r="O16" i="5"/>
  <c r="K6" i="8" l="1"/>
  <c r="K10" i="8"/>
  <c r="K6" i="6"/>
  <c r="K7" i="5"/>
  <c r="M6" i="8"/>
  <c r="M10" i="8"/>
  <c r="M6" i="6"/>
  <c r="M7" i="5"/>
  <c r="C10" i="6"/>
  <c r="O10" i="6" s="1"/>
  <c r="O22" i="5"/>
  <c r="D13" i="4"/>
  <c r="D14" i="4" s="1"/>
  <c r="C7" i="11"/>
  <c r="C8" i="11" s="1"/>
  <c r="C9" i="9"/>
  <c r="C13" i="1"/>
  <c r="C13" i="4"/>
  <c r="C14" i="4" s="1"/>
  <c r="O9" i="6"/>
  <c r="H14" i="4"/>
  <c r="H13" i="4"/>
  <c r="J13" i="4"/>
  <c r="J14" i="4" s="1"/>
  <c r="C11" i="3"/>
  <c r="C8" i="3"/>
  <c r="N12" i="4"/>
  <c r="N15" i="4"/>
  <c r="N8" i="5" s="1"/>
  <c r="E6" i="8"/>
  <c r="E10" i="8"/>
  <c r="E7" i="5"/>
  <c r="E6" i="6"/>
  <c r="O17" i="5"/>
  <c r="I15" i="4"/>
  <c r="I8" i="5" s="1"/>
  <c r="I12" i="4"/>
  <c r="L14" i="4"/>
  <c r="L13" i="4"/>
  <c r="F12" i="4"/>
  <c r="F15" i="4"/>
  <c r="G13" i="4"/>
  <c r="G14" i="4" s="1"/>
  <c r="C12" i="6"/>
  <c r="O12" i="6" s="1"/>
  <c r="O24" i="5"/>
  <c r="C6" i="8" l="1"/>
  <c r="C10" i="8"/>
  <c r="C6" i="6"/>
  <c r="C7" i="5"/>
  <c r="G10" i="8"/>
  <c r="G6" i="6"/>
  <c r="G7" i="5"/>
  <c r="G6" i="8"/>
  <c r="J6" i="6"/>
  <c r="J7" i="5"/>
  <c r="J6" i="8"/>
  <c r="J10" i="8"/>
  <c r="D6" i="6"/>
  <c r="D7" i="5"/>
  <c r="D6" i="8"/>
  <c r="D10" i="8"/>
  <c r="H6" i="8"/>
  <c r="H6" i="6"/>
  <c r="H10" i="8"/>
  <c r="H7" i="5"/>
  <c r="F8" i="5"/>
  <c r="O8" i="5" s="1"/>
  <c r="O15" i="4"/>
  <c r="C6" i="10" s="1"/>
  <c r="M7" i="8"/>
  <c r="M9" i="5"/>
  <c r="E11" i="3"/>
  <c r="I13" i="4"/>
  <c r="I14" i="4"/>
  <c r="O14" i="4" s="1"/>
  <c r="I11" i="11"/>
  <c r="H11" i="11"/>
  <c r="G11" i="11"/>
  <c r="F11" i="11"/>
  <c r="F12" i="11"/>
  <c r="F6" i="12" s="1"/>
  <c r="F7" i="12" s="1"/>
  <c r="E11" i="11"/>
  <c r="C27" i="12"/>
  <c r="D11" i="11"/>
  <c r="C11" i="11"/>
  <c r="C12" i="11"/>
  <c r="C6" i="12" s="1"/>
  <c r="C7" i="12" s="1"/>
  <c r="C18" i="11"/>
  <c r="G12" i="11"/>
  <c r="G6" i="12" s="1"/>
  <c r="G7" i="12" s="1"/>
  <c r="C16" i="11"/>
  <c r="H12" i="11"/>
  <c r="H6" i="12" s="1"/>
  <c r="H7" i="12" s="1"/>
  <c r="C17" i="11"/>
  <c r="D12" i="11"/>
  <c r="D6" i="12" s="1"/>
  <c r="D7" i="12" s="1"/>
  <c r="I12" i="11"/>
  <c r="I6" i="12" s="1"/>
  <c r="I7" i="12" s="1"/>
  <c r="E12" i="11"/>
  <c r="E6" i="12" s="1"/>
  <c r="E7" i="12" s="1"/>
  <c r="D11" i="3"/>
  <c r="K7" i="8"/>
  <c r="K9" i="5"/>
  <c r="N13" i="4"/>
  <c r="N14" i="4" s="1"/>
  <c r="F14" i="4"/>
  <c r="F13" i="4"/>
  <c r="L6" i="6"/>
  <c r="L7" i="5"/>
  <c r="L6" i="8"/>
  <c r="L10" i="8"/>
  <c r="E7" i="8"/>
  <c r="E9" i="5"/>
  <c r="O12" i="4"/>
  <c r="F14" i="12" l="1"/>
  <c r="E14" i="12"/>
  <c r="D14" i="12"/>
  <c r="C14" i="12"/>
  <c r="I14" i="12"/>
  <c r="H14" i="12"/>
  <c r="G14" i="12"/>
  <c r="N10" i="8"/>
  <c r="N6" i="8"/>
  <c r="N7" i="5"/>
  <c r="N6" i="6"/>
  <c r="O13" i="4"/>
  <c r="C5" i="9"/>
  <c r="C6" i="9" s="1"/>
  <c r="C5" i="10"/>
  <c r="F10" i="8"/>
  <c r="F6" i="8"/>
  <c r="F7" i="5"/>
  <c r="F6" i="6"/>
  <c r="C13" i="8"/>
  <c r="C25" i="5"/>
  <c r="G7" i="8"/>
  <c r="G9" i="5"/>
  <c r="M7" i="6"/>
  <c r="M8" i="6" s="1"/>
  <c r="M11" i="6" s="1"/>
  <c r="M13" i="6" s="1"/>
  <c r="L7" i="8"/>
  <c r="L9" i="5"/>
  <c r="E7" i="6"/>
  <c r="E8" i="6" s="1"/>
  <c r="E11" i="6" s="1"/>
  <c r="E13" i="6" s="1"/>
  <c r="E43" i="12"/>
  <c r="E9" i="12"/>
  <c r="D7" i="8"/>
  <c r="D9" i="5"/>
  <c r="D43" i="12"/>
  <c r="D9" i="12"/>
  <c r="C9" i="12"/>
  <c r="C43" i="12"/>
  <c r="I9" i="12"/>
  <c r="I43" i="12"/>
  <c r="H7" i="8"/>
  <c r="H9" i="5"/>
  <c r="C9" i="5"/>
  <c r="C7" i="8"/>
  <c r="C32" i="12"/>
  <c r="F14" i="7"/>
  <c r="F6" i="7"/>
  <c r="F9" i="7" s="1"/>
  <c r="C31" i="12"/>
  <c r="C29" i="12"/>
  <c r="C22" i="7"/>
  <c r="C14" i="7"/>
  <c r="C6" i="7"/>
  <c r="C28" i="12"/>
  <c r="H14" i="7"/>
  <c r="H6" i="7"/>
  <c r="H9" i="7" s="1"/>
  <c r="G14" i="7"/>
  <c r="D6" i="7"/>
  <c r="D9" i="7" s="1"/>
  <c r="E14" i="7"/>
  <c r="C24" i="7"/>
  <c r="D14" i="7"/>
  <c r="E6" i="7"/>
  <c r="E9" i="7" s="1"/>
  <c r="G6" i="7"/>
  <c r="G9" i="7" s="1"/>
  <c r="C30" i="12"/>
  <c r="K7" i="6"/>
  <c r="K8" i="6" s="1"/>
  <c r="K11" i="6" s="1"/>
  <c r="K13" i="6" s="1"/>
  <c r="J7" i="8"/>
  <c r="J9" i="5"/>
  <c r="O6" i="6"/>
  <c r="I10" i="8"/>
  <c r="O10" i="8" s="1"/>
  <c r="I6" i="8"/>
  <c r="I7" i="5"/>
  <c r="O7" i="5" s="1"/>
  <c r="I6" i="6"/>
  <c r="F43" i="12"/>
  <c r="C28" i="7" s="1"/>
  <c r="F9" i="12"/>
  <c r="H9" i="12"/>
  <c r="H43" i="12"/>
  <c r="F11" i="3"/>
  <c r="C12" i="3" s="1"/>
  <c r="G43" i="12"/>
  <c r="G9" i="12"/>
  <c r="E14" i="8"/>
  <c r="O6" i="8"/>
  <c r="C14" i="6" l="1"/>
  <c r="G7" i="7"/>
  <c r="C7" i="6"/>
  <c r="C11" i="8"/>
  <c r="L7" i="6"/>
  <c r="L8" i="6" s="1"/>
  <c r="L11" i="6" s="1"/>
  <c r="L13" i="6" s="1"/>
  <c r="H7" i="7"/>
  <c r="D12" i="3"/>
  <c r="J7" i="6"/>
  <c r="J8" i="6" s="1"/>
  <c r="J11" i="6" s="1"/>
  <c r="J13" i="6" s="1"/>
  <c r="D7" i="6"/>
  <c r="D8" i="6" s="1"/>
  <c r="D11" i="6" s="1"/>
  <c r="D13" i="6" s="1"/>
  <c r="F7" i="8"/>
  <c r="O7" i="8" s="1"/>
  <c r="F9" i="5"/>
  <c r="C7" i="7"/>
  <c r="I9" i="5"/>
  <c r="I7" i="8"/>
  <c r="K14" i="8" s="1"/>
  <c r="O14" i="8" s="1"/>
  <c r="C9" i="7"/>
  <c r="H7" i="6"/>
  <c r="H8" i="6" s="1"/>
  <c r="H11" i="6" s="1"/>
  <c r="H13" i="6" s="1"/>
  <c r="H14" i="8"/>
  <c r="D7" i="7"/>
  <c r="G7" i="6"/>
  <c r="G8" i="6" s="1"/>
  <c r="G11" i="6" s="1"/>
  <c r="G13" i="6" s="1"/>
  <c r="N7" i="8"/>
  <c r="N14" i="8" s="1"/>
  <c r="N9" i="5"/>
  <c r="E7" i="7"/>
  <c r="F7" i="7"/>
  <c r="C8" i="6" l="1"/>
  <c r="N7" i="6"/>
  <c r="N8" i="6" s="1"/>
  <c r="N11" i="6" s="1"/>
  <c r="N13" i="6" s="1"/>
  <c r="I7" i="6"/>
  <c r="I8" i="6" s="1"/>
  <c r="I11" i="6" s="1"/>
  <c r="I13" i="6" s="1"/>
  <c r="F7" i="6"/>
  <c r="F8" i="6" s="1"/>
  <c r="F11" i="6" s="1"/>
  <c r="F13" i="6" s="1"/>
  <c r="D25" i="5"/>
  <c r="D13" i="8"/>
  <c r="E12" i="3"/>
  <c r="O9" i="5"/>
  <c r="C16" i="8"/>
  <c r="C17" i="8" l="1"/>
  <c r="E15" i="12"/>
  <c r="D15" i="12"/>
  <c r="I15" i="12"/>
  <c r="F15" i="12"/>
  <c r="C15" i="12"/>
  <c r="G15" i="12"/>
  <c r="H15" i="12"/>
  <c r="C11" i="6"/>
  <c r="O8" i="6"/>
  <c r="D14" i="6"/>
  <c r="D11" i="8"/>
  <c r="F12" i="3"/>
  <c r="C13" i="3" s="1"/>
  <c r="O7" i="6"/>
  <c r="C8" i="7" l="1"/>
  <c r="F8" i="7"/>
  <c r="D15" i="6"/>
  <c r="D16" i="8"/>
  <c r="D8" i="7"/>
  <c r="E8" i="7"/>
  <c r="D13" i="3"/>
  <c r="O11" i="6"/>
  <c r="C13" i="6"/>
  <c r="H8" i="7"/>
  <c r="G8" i="7"/>
  <c r="D17" i="8"/>
  <c r="D16" i="6" l="1"/>
  <c r="D17" i="6" s="1"/>
  <c r="E25" i="5"/>
  <c r="E13" i="3"/>
  <c r="O13" i="6"/>
  <c r="C15" i="6"/>
  <c r="F13" i="3" l="1"/>
  <c r="C14" i="3" s="1"/>
  <c r="C16" i="6"/>
  <c r="E14" i="6"/>
  <c r="E11" i="8"/>
  <c r="E13" i="8"/>
  <c r="E15" i="6" l="1"/>
  <c r="D14" i="3"/>
  <c r="E16" i="8"/>
  <c r="C17" i="6"/>
  <c r="F25" i="5" l="1"/>
  <c r="E14" i="3"/>
  <c r="E17" i="8"/>
  <c r="E16" i="6"/>
  <c r="F14" i="3" l="1"/>
  <c r="C15" i="3" s="1"/>
  <c r="F14" i="6"/>
  <c r="F11" i="8"/>
  <c r="E17" i="6"/>
  <c r="F13" i="8"/>
  <c r="F15" i="6" l="1"/>
  <c r="F16" i="8"/>
  <c r="D15" i="3"/>
  <c r="G25" i="5" l="1"/>
  <c r="E15" i="3"/>
  <c r="F15" i="3" s="1"/>
  <c r="C16" i="3" s="1"/>
  <c r="F17" i="8"/>
  <c r="F16" i="6"/>
  <c r="G13" i="8" l="1"/>
  <c r="F17" i="6"/>
  <c r="D16" i="3"/>
  <c r="G14" i="6"/>
  <c r="G15" i="6" s="1"/>
  <c r="G11" i="8"/>
  <c r="G16" i="6" l="1"/>
  <c r="G17" i="6" s="1"/>
  <c r="H25" i="5"/>
  <c r="E16" i="3"/>
  <c r="F16" i="3" s="1"/>
  <c r="C17" i="3" s="1"/>
  <c r="G16" i="8"/>
  <c r="G17" i="8" s="1"/>
  <c r="D17" i="3" l="1"/>
  <c r="H14" i="6"/>
  <c r="H15" i="6" s="1"/>
  <c r="H11" i="8"/>
  <c r="H16" i="8" s="1"/>
  <c r="H17" i="8" s="1"/>
  <c r="H13" i="8"/>
  <c r="H16" i="6" l="1"/>
  <c r="H17" i="6"/>
  <c r="I25" i="5"/>
  <c r="E17" i="3"/>
  <c r="F17" i="3" s="1"/>
  <c r="C18" i="3" s="1"/>
  <c r="I14" i="6" l="1"/>
  <c r="I15" i="6" s="1"/>
  <c r="I11" i="8"/>
  <c r="D18" i="3"/>
  <c r="I13" i="8"/>
  <c r="J25" i="5" l="1"/>
  <c r="E18" i="3"/>
  <c r="F18" i="3" s="1"/>
  <c r="C19" i="3" s="1"/>
  <c r="I16" i="8"/>
  <c r="I17" i="8" s="1"/>
  <c r="I16" i="6"/>
  <c r="I17" i="6" s="1"/>
  <c r="D19" i="3" l="1"/>
  <c r="J14" i="6"/>
  <c r="J15" i="6" s="1"/>
  <c r="J11" i="8"/>
  <c r="J16" i="8" s="1"/>
  <c r="J17" i="8" s="1"/>
  <c r="J13" i="8"/>
  <c r="J16" i="6" l="1"/>
  <c r="J17" i="6"/>
  <c r="K25" i="5"/>
  <c r="E19" i="3"/>
  <c r="F19" i="3" s="1"/>
  <c r="C20" i="3" s="1"/>
  <c r="K14" i="6" l="1"/>
  <c r="K15" i="6" s="1"/>
  <c r="K11" i="8"/>
  <c r="D20" i="3"/>
  <c r="K13" i="8"/>
  <c r="L25" i="5" l="1"/>
  <c r="E20" i="3"/>
  <c r="F20" i="3" s="1"/>
  <c r="C21" i="3" s="1"/>
  <c r="K16" i="8"/>
  <c r="K17" i="8" s="1"/>
  <c r="K16" i="6"/>
  <c r="K17" i="6" s="1"/>
  <c r="D21" i="3" l="1"/>
  <c r="L13" i="8"/>
  <c r="L14" i="6"/>
  <c r="L15" i="6" s="1"/>
  <c r="L11" i="8"/>
  <c r="L16" i="8" s="1"/>
  <c r="L17" i="8" s="1"/>
  <c r="L16" i="6" l="1"/>
  <c r="L17" i="6" s="1"/>
  <c r="M25" i="5"/>
  <c r="E21" i="3"/>
  <c r="F21" i="3" s="1"/>
  <c r="C22" i="3" s="1"/>
  <c r="M14" i="6" l="1"/>
  <c r="M15" i="6" s="1"/>
  <c r="M11" i="8"/>
  <c r="D22" i="3"/>
  <c r="M13" i="8"/>
  <c r="N25" i="5" l="1"/>
  <c r="E22" i="3"/>
  <c r="C98" i="3"/>
  <c r="M16" i="8"/>
  <c r="M17" i="8" s="1"/>
  <c r="M16" i="6"/>
  <c r="M17" i="6" s="1"/>
  <c r="C44" i="12" l="1"/>
  <c r="C17" i="12"/>
  <c r="D98" i="3"/>
  <c r="F22" i="3"/>
  <c r="N14" i="6"/>
  <c r="N11" i="8"/>
  <c r="O25" i="5"/>
  <c r="N13" i="8"/>
  <c r="O13" i="8" s="1"/>
  <c r="C10" i="7" l="1"/>
  <c r="C11" i="7" s="1"/>
  <c r="C18" i="12"/>
  <c r="C7" i="9"/>
  <c r="C8" i="9" s="1"/>
  <c r="C7" i="10"/>
  <c r="O11" i="8"/>
  <c r="N15" i="6"/>
  <c r="O14" i="6"/>
  <c r="C10" i="12"/>
  <c r="C11" i="12" s="1"/>
  <c r="C23" i="3"/>
  <c r="E14" i="10" l="1"/>
  <c r="C14" i="10"/>
  <c r="C15" i="10"/>
  <c r="G12" i="10"/>
  <c r="E12" i="10"/>
  <c r="E13" i="10"/>
  <c r="G14" i="10"/>
  <c r="D11" i="10"/>
  <c r="E15" i="10"/>
  <c r="G11" i="10"/>
  <c r="C11" i="10"/>
  <c r="F13" i="10"/>
  <c r="E11" i="10"/>
  <c r="D13" i="10"/>
  <c r="G15" i="10"/>
  <c r="G13" i="10"/>
  <c r="F11" i="10"/>
  <c r="D14" i="10"/>
  <c r="D12" i="10"/>
  <c r="F14" i="10"/>
  <c r="F12" i="10"/>
  <c r="D15" i="10"/>
  <c r="C13" i="10"/>
  <c r="C12" i="10"/>
  <c r="F15" i="10"/>
  <c r="D23" i="3"/>
  <c r="C19" i="12"/>
  <c r="C42" i="12" s="1"/>
  <c r="C20" i="12"/>
  <c r="C21" i="12" s="1"/>
  <c r="N16" i="6"/>
  <c r="O16" i="6" s="1"/>
  <c r="N15" i="8" s="1"/>
  <c r="O15" i="6"/>
  <c r="C10" i="9"/>
  <c r="C11" i="9"/>
  <c r="C12" i="7"/>
  <c r="C13" i="7"/>
  <c r="O15" i="8" l="1"/>
  <c r="N16" i="8"/>
  <c r="C22" i="12"/>
  <c r="N17" i="6"/>
  <c r="O17" i="6" s="1"/>
  <c r="C15" i="7"/>
  <c r="C45" i="12"/>
  <c r="E23" i="3"/>
  <c r="F23" i="3" l="1"/>
  <c r="C24" i="3" s="1"/>
  <c r="O16" i="8"/>
  <c r="N17" i="8"/>
  <c r="C18" i="7" s="1"/>
  <c r="C19" i="7" s="1"/>
  <c r="C37" i="7" l="1"/>
  <c r="D24" i="3"/>
  <c r="E24" i="3" l="1"/>
  <c r="C39" i="7"/>
  <c r="D43" i="7"/>
  <c r="C38" i="7"/>
  <c r="F24" i="3" l="1"/>
  <c r="C25" i="3" s="1"/>
  <c r="D25" i="3" l="1"/>
  <c r="E25" i="3" l="1"/>
  <c r="F25" i="3" l="1"/>
  <c r="C26" i="3" s="1"/>
  <c r="D26" i="3" l="1"/>
  <c r="E26" i="3" l="1"/>
  <c r="F26" i="3" l="1"/>
  <c r="C27" i="3" s="1"/>
  <c r="D27" i="3" l="1"/>
  <c r="E27" i="3" l="1"/>
  <c r="F27" i="3" l="1"/>
  <c r="C28" i="3" s="1"/>
  <c r="D28" i="3" l="1"/>
  <c r="E28" i="3" s="1"/>
  <c r="F28" i="3" s="1"/>
  <c r="C29" i="3" s="1"/>
  <c r="D29" i="3" l="1"/>
  <c r="E29" i="3" s="1"/>
  <c r="F29" i="3"/>
  <c r="C30" i="3" s="1"/>
  <c r="D30" i="3" l="1"/>
  <c r="E30" i="3" s="1"/>
  <c r="F30" i="3" s="1"/>
  <c r="C31" i="3" s="1"/>
  <c r="D31" i="3" l="1"/>
  <c r="E31" i="3" s="1"/>
  <c r="F31" i="3"/>
  <c r="C32" i="3" s="1"/>
  <c r="D32" i="3" l="1"/>
  <c r="E32" i="3" s="1"/>
  <c r="F32" i="3"/>
  <c r="C33" i="3" s="1"/>
  <c r="D33" i="3" l="1"/>
  <c r="E33" i="3" s="1"/>
  <c r="F33" i="3"/>
  <c r="C34" i="3" s="1"/>
  <c r="D34" i="3" l="1"/>
  <c r="E34" i="3" l="1"/>
  <c r="C99" i="3"/>
  <c r="D17" i="12" l="1"/>
  <c r="D44" i="12"/>
  <c r="D99" i="3"/>
  <c r="F34" i="3"/>
  <c r="D10" i="12" l="1"/>
  <c r="D11" i="12" s="1"/>
  <c r="C35" i="3"/>
  <c r="D10" i="7"/>
  <c r="D11" i="7" s="1"/>
  <c r="D18" i="12"/>
  <c r="D19" i="12" l="1"/>
  <c r="D42" i="12" s="1"/>
  <c r="D35" i="3"/>
  <c r="D12" i="7"/>
  <c r="D18" i="7" s="1"/>
  <c r="D19" i="7" s="1"/>
  <c r="D13" i="7" l="1"/>
  <c r="E35" i="3"/>
  <c r="D37" i="7"/>
  <c r="D45" i="12"/>
  <c r="D20" i="12"/>
  <c r="D21" i="12" s="1"/>
  <c r="D22" i="12" l="1"/>
  <c r="D23" i="12" s="1"/>
  <c r="D38" i="7"/>
  <c r="E43" i="7"/>
  <c r="D39" i="7"/>
  <c r="F35" i="3"/>
  <c r="C36" i="3" s="1"/>
  <c r="D15" i="7"/>
  <c r="D36" i="3" l="1"/>
  <c r="E36" i="3" l="1"/>
  <c r="F36" i="3" l="1"/>
  <c r="C37" i="3" s="1"/>
  <c r="D37" i="3" l="1"/>
  <c r="E37" i="3" l="1"/>
  <c r="F37" i="3" l="1"/>
  <c r="C38" i="3" s="1"/>
  <c r="D38" i="3" l="1"/>
  <c r="E38" i="3" l="1"/>
  <c r="F38" i="3" l="1"/>
  <c r="C39" i="3" s="1"/>
  <c r="D39" i="3" l="1"/>
  <c r="E39" i="3" l="1"/>
  <c r="F39" i="3" l="1"/>
  <c r="C40" i="3" s="1"/>
  <c r="D40" i="3" l="1"/>
  <c r="E40" i="3" s="1"/>
  <c r="F40" i="3" s="1"/>
  <c r="C41" i="3" s="1"/>
  <c r="D41" i="3" l="1"/>
  <c r="E41" i="3" s="1"/>
  <c r="F41" i="3"/>
  <c r="C42" i="3" s="1"/>
  <c r="D42" i="3" l="1"/>
  <c r="E42" i="3" s="1"/>
  <c r="F42" i="3" s="1"/>
  <c r="C43" i="3" s="1"/>
  <c r="D43" i="3" l="1"/>
  <c r="E43" i="3" s="1"/>
  <c r="F43" i="3"/>
  <c r="C44" i="3" s="1"/>
  <c r="D44" i="3" l="1"/>
  <c r="E44" i="3" s="1"/>
  <c r="F44" i="3" s="1"/>
  <c r="C45" i="3" s="1"/>
  <c r="D45" i="3" l="1"/>
  <c r="E45" i="3" s="1"/>
  <c r="F45" i="3"/>
  <c r="C46" i="3" s="1"/>
  <c r="D46" i="3" l="1"/>
  <c r="E46" i="3" l="1"/>
  <c r="C100" i="3"/>
  <c r="E17" i="12" l="1"/>
  <c r="E44" i="12"/>
  <c r="D100" i="3"/>
  <c r="F46" i="3"/>
  <c r="E10" i="12" l="1"/>
  <c r="E11" i="12" s="1"/>
  <c r="C47" i="3"/>
  <c r="E10" i="7"/>
  <c r="E11" i="7" s="1"/>
  <c r="E18" i="12"/>
  <c r="E19" i="12" l="1"/>
  <c r="E42" i="12" s="1"/>
  <c r="E20" i="12"/>
  <c r="E21" i="12" s="1"/>
  <c r="E12" i="7"/>
  <c r="E18" i="7" s="1"/>
  <c r="E19" i="7" s="1"/>
  <c r="D47" i="3"/>
  <c r="E47" i="3" l="1"/>
  <c r="E37" i="7"/>
  <c r="E13" i="7"/>
  <c r="E22" i="12"/>
  <c r="E23" i="12" s="1"/>
  <c r="E45" i="12"/>
  <c r="E15" i="7" l="1"/>
  <c r="F43" i="7"/>
  <c r="E38" i="7"/>
  <c r="E39" i="7"/>
  <c r="F47" i="3"/>
  <c r="C48" i="3" s="1"/>
  <c r="D48" i="3" l="1"/>
  <c r="E48" i="3" l="1"/>
  <c r="F48" i="3" l="1"/>
  <c r="C49" i="3" s="1"/>
  <c r="D49" i="3" l="1"/>
  <c r="E49" i="3" l="1"/>
  <c r="F49" i="3" l="1"/>
  <c r="C50" i="3" s="1"/>
  <c r="D50" i="3" l="1"/>
  <c r="E50" i="3" l="1"/>
  <c r="F50" i="3" l="1"/>
  <c r="C51" i="3" s="1"/>
  <c r="D51" i="3" l="1"/>
  <c r="E51" i="3" l="1"/>
  <c r="F51" i="3" l="1"/>
  <c r="C52" i="3" s="1"/>
  <c r="D52" i="3" l="1"/>
  <c r="E52" i="3" s="1"/>
  <c r="F52" i="3" s="1"/>
  <c r="C53" i="3" s="1"/>
  <c r="D53" i="3" l="1"/>
  <c r="E53" i="3" s="1"/>
  <c r="F53" i="3"/>
  <c r="C54" i="3" s="1"/>
  <c r="D54" i="3" l="1"/>
  <c r="E54" i="3" s="1"/>
  <c r="F54" i="3" s="1"/>
  <c r="C55" i="3" s="1"/>
  <c r="D55" i="3" l="1"/>
  <c r="E55" i="3" s="1"/>
  <c r="F55" i="3"/>
  <c r="C56" i="3" s="1"/>
  <c r="D56" i="3" l="1"/>
  <c r="E56" i="3" s="1"/>
  <c r="F56" i="3" s="1"/>
  <c r="C57" i="3" s="1"/>
  <c r="D57" i="3" l="1"/>
  <c r="E57" i="3" s="1"/>
  <c r="F57" i="3"/>
  <c r="C58" i="3" s="1"/>
  <c r="D58" i="3" l="1"/>
  <c r="E58" i="3" l="1"/>
  <c r="C101" i="3"/>
  <c r="F17" i="12" l="1"/>
  <c r="F44" i="12"/>
  <c r="C29" i="7" s="1"/>
  <c r="D101" i="3"/>
  <c r="F58" i="3"/>
  <c r="F10" i="12" l="1"/>
  <c r="C59" i="3"/>
  <c r="F10" i="7"/>
  <c r="F11" i="7" s="1"/>
  <c r="F18" i="12"/>
  <c r="F19" i="12" l="1"/>
  <c r="F42" i="12" s="1"/>
  <c r="F20" i="12"/>
  <c r="F21" i="12" s="1"/>
  <c r="D59" i="3"/>
  <c r="F12" i="7"/>
  <c r="F13" i="7" s="1"/>
  <c r="C33" i="12"/>
  <c r="C34" i="12"/>
  <c r="F11" i="12"/>
  <c r="F15" i="7" l="1"/>
  <c r="C23" i="7"/>
  <c r="E59" i="3"/>
  <c r="F18" i="7"/>
  <c r="F19" i="7" s="1"/>
  <c r="F22" i="12"/>
  <c r="C35" i="12"/>
  <c r="F45" i="12"/>
  <c r="C30" i="7" s="1"/>
  <c r="C27" i="7"/>
  <c r="F37" i="7" l="1"/>
  <c r="C26" i="7"/>
  <c r="F59" i="3"/>
  <c r="C60" i="3" s="1"/>
  <c r="F23" i="12"/>
  <c r="C36" i="12"/>
  <c r="C25" i="7" s="1"/>
  <c r="D60" i="3" l="1"/>
  <c r="F39" i="7"/>
  <c r="F38" i="7"/>
  <c r="G43" i="7"/>
  <c r="C46" i="7"/>
  <c r="C49" i="7"/>
  <c r="C47" i="7"/>
  <c r="C51" i="7"/>
  <c r="C48" i="7"/>
  <c r="E60" i="3" l="1"/>
  <c r="F60" i="3" l="1"/>
  <c r="C61" i="3" s="1"/>
  <c r="D61" i="3" l="1"/>
  <c r="E61" i="3" l="1"/>
  <c r="F61" i="3" l="1"/>
  <c r="C62" i="3" s="1"/>
  <c r="D62" i="3" l="1"/>
  <c r="E62" i="3" l="1"/>
  <c r="F62" i="3" l="1"/>
  <c r="C63" i="3" s="1"/>
  <c r="D63" i="3" l="1"/>
  <c r="E63" i="3" l="1"/>
  <c r="F63" i="3" l="1"/>
  <c r="C64" i="3" s="1"/>
  <c r="D64" i="3" l="1"/>
  <c r="E64" i="3" s="1"/>
  <c r="F64" i="3"/>
  <c r="C65" i="3" s="1"/>
  <c r="D65" i="3" l="1"/>
  <c r="E65" i="3" s="1"/>
  <c r="F65" i="3"/>
  <c r="C66" i="3" s="1"/>
  <c r="D66" i="3" l="1"/>
  <c r="E66" i="3" s="1"/>
  <c r="F66" i="3" s="1"/>
  <c r="C67" i="3" s="1"/>
  <c r="D67" i="3" l="1"/>
  <c r="E67" i="3" s="1"/>
  <c r="F67" i="3"/>
  <c r="C68" i="3" s="1"/>
  <c r="D68" i="3" l="1"/>
  <c r="E68" i="3" s="1"/>
  <c r="F68" i="3" s="1"/>
  <c r="C69" i="3" s="1"/>
  <c r="D69" i="3" l="1"/>
  <c r="E69" i="3" s="1"/>
  <c r="F69" i="3"/>
  <c r="C70" i="3" s="1"/>
  <c r="D70" i="3" l="1"/>
  <c r="E70" i="3" l="1"/>
  <c r="C102" i="3"/>
  <c r="G17" i="12" l="1"/>
  <c r="G44" i="12"/>
  <c r="D102" i="3"/>
  <c r="F70" i="3"/>
  <c r="G10" i="12" l="1"/>
  <c r="G11" i="12" s="1"/>
  <c r="C71" i="3"/>
  <c r="G10" i="7"/>
  <c r="G11" i="7" s="1"/>
  <c r="G18" i="12"/>
  <c r="G19" i="12" l="1"/>
  <c r="G42" i="12" s="1"/>
  <c r="D71" i="3"/>
  <c r="G12" i="7"/>
  <c r="G18" i="7" s="1"/>
  <c r="G19" i="7" s="1"/>
  <c r="G13" i="7"/>
  <c r="G15" i="7" s="1"/>
  <c r="E71" i="3" l="1"/>
  <c r="G20" i="12"/>
  <c r="G21" i="12" s="1"/>
  <c r="G37" i="7"/>
  <c r="G45" i="12"/>
  <c r="G38" i="7" l="1"/>
  <c r="H43" i="7"/>
  <c r="G39" i="7"/>
  <c r="G22" i="12"/>
  <c r="G23" i="12" s="1"/>
  <c r="F71" i="3"/>
  <c r="C72" i="3" s="1"/>
  <c r="D72" i="3" l="1"/>
  <c r="E72" i="3" l="1"/>
  <c r="F72" i="3" l="1"/>
  <c r="C73" i="3" s="1"/>
  <c r="D73" i="3" l="1"/>
  <c r="E73" i="3" l="1"/>
  <c r="F73" i="3" l="1"/>
  <c r="C74" i="3" s="1"/>
  <c r="D74" i="3" l="1"/>
  <c r="E74" i="3" l="1"/>
  <c r="F74" i="3" l="1"/>
  <c r="C75" i="3" s="1"/>
  <c r="D75" i="3" l="1"/>
  <c r="E75" i="3" l="1"/>
  <c r="F75" i="3" l="1"/>
  <c r="C76" i="3" s="1"/>
  <c r="D76" i="3" l="1"/>
  <c r="E76" i="3" s="1"/>
  <c r="F76" i="3" s="1"/>
  <c r="C77" i="3" s="1"/>
  <c r="D77" i="3" l="1"/>
  <c r="E77" i="3" s="1"/>
  <c r="F77" i="3"/>
  <c r="C78" i="3" s="1"/>
  <c r="D78" i="3" l="1"/>
  <c r="E78" i="3" s="1"/>
  <c r="F78" i="3" s="1"/>
  <c r="C79" i="3" s="1"/>
  <c r="D79" i="3" l="1"/>
  <c r="E79" i="3" s="1"/>
  <c r="F79" i="3"/>
  <c r="C80" i="3" s="1"/>
  <c r="D80" i="3" l="1"/>
  <c r="E80" i="3" s="1"/>
  <c r="F80" i="3"/>
  <c r="C81" i="3" s="1"/>
  <c r="D81" i="3" l="1"/>
  <c r="E81" i="3" s="1"/>
  <c r="F81" i="3"/>
  <c r="C82" i="3" s="1"/>
  <c r="D82" i="3" l="1"/>
  <c r="E82" i="3" l="1"/>
  <c r="C103" i="3"/>
  <c r="H17" i="12" l="1"/>
  <c r="H44" i="12"/>
  <c r="D103" i="3"/>
  <c r="F82" i="3"/>
  <c r="H10" i="12" l="1"/>
  <c r="H11" i="12" s="1"/>
  <c r="C83" i="3"/>
  <c r="H10" i="7"/>
  <c r="H11" i="7" s="1"/>
  <c r="H18" i="12"/>
  <c r="H19" i="12" l="1"/>
  <c r="H42" i="12" s="1"/>
  <c r="H20" i="12"/>
  <c r="H21" i="12" s="1"/>
  <c r="D83" i="3"/>
  <c r="H12" i="7"/>
  <c r="H18" i="7" s="1"/>
  <c r="H19" i="7" s="1"/>
  <c r="H37" i="7" s="1"/>
  <c r="I43" i="7" l="1"/>
  <c r="C50" i="7" s="1"/>
  <c r="H39" i="7"/>
  <c r="H38" i="7"/>
  <c r="H13" i="7"/>
  <c r="H15" i="7" s="1"/>
  <c r="E83" i="3"/>
  <c r="H22" i="12"/>
  <c r="H23" i="12" s="1"/>
  <c r="H45" i="12"/>
  <c r="F83" i="3" l="1"/>
  <c r="C84" i="3" s="1"/>
  <c r="D84" i="3" l="1"/>
  <c r="E84" i="3" l="1"/>
  <c r="F84" i="3" l="1"/>
  <c r="C85" i="3" s="1"/>
  <c r="D85" i="3" l="1"/>
  <c r="E85" i="3" l="1"/>
  <c r="F85" i="3" l="1"/>
  <c r="C86" i="3" s="1"/>
  <c r="D86" i="3" l="1"/>
  <c r="E86" i="3" l="1"/>
  <c r="F86" i="3" l="1"/>
  <c r="C87" i="3" s="1"/>
  <c r="D87" i="3" l="1"/>
  <c r="E87" i="3" l="1"/>
  <c r="F87" i="3" l="1"/>
  <c r="C88" i="3" s="1"/>
  <c r="D88" i="3" l="1"/>
  <c r="E88" i="3" s="1"/>
  <c r="F88" i="3" s="1"/>
  <c r="C89" i="3" s="1"/>
  <c r="D89" i="3" l="1"/>
  <c r="E89" i="3" s="1"/>
  <c r="F89" i="3"/>
  <c r="C90" i="3" s="1"/>
  <c r="D90" i="3" l="1"/>
  <c r="E90" i="3" s="1"/>
  <c r="F90" i="3" s="1"/>
  <c r="C91" i="3" s="1"/>
  <c r="D91" i="3" l="1"/>
  <c r="E91" i="3" s="1"/>
  <c r="F91" i="3"/>
  <c r="C92" i="3" s="1"/>
  <c r="D92" i="3" l="1"/>
  <c r="E92" i="3" s="1"/>
  <c r="F92" i="3" s="1"/>
  <c r="C93" i="3" s="1"/>
  <c r="D93" i="3" l="1"/>
  <c r="E93" i="3" s="1"/>
  <c r="F93" i="3"/>
  <c r="C94" i="3" s="1"/>
  <c r="D94" i="3" l="1"/>
  <c r="E94" i="3" l="1"/>
  <c r="C104" i="3"/>
  <c r="I17" i="12" l="1"/>
  <c r="I18" i="12" s="1"/>
  <c r="I44" i="12"/>
  <c r="D104" i="3"/>
  <c r="F94" i="3"/>
  <c r="I10" i="12" s="1"/>
  <c r="I11" i="12" s="1"/>
  <c r="I19" i="12" l="1"/>
  <c r="I42" i="12" s="1"/>
  <c r="I45" i="12" s="1"/>
  <c r="I20" i="12"/>
  <c r="I21" i="12" s="1"/>
  <c r="I22" i="12" s="1"/>
  <c r="I23" i="12" s="1"/>
</calcChain>
</file>

<file path=xl/sharedStrings.xml><?xml version="1.0" encoding="utf-8"?>
<sst xmlns="http://schemas.openxmlformats.org/spreadsheetml/2006/main" count="577" uniqueCount="363">
  <si>
    <t>PLANO DE NEGOCIOS / BUSINESS PLAN</t>
  </si>
  <si>
    <t>Aluguer de Campervans / Campervan Rental  —  Portugal</t>
  </si>
  <si>
    <t>Pequeno negocio / Small business  •  Ano 1 mensal + resumo 3 anos / Year 1 monthly + 3-yr summary</t>
  </si>
  <si>
    <t>PARAMETROS-CHAVE / KEY PARAMETERS</t>
  </si>
  <si>
    <t>Carrinha / Campervan</t>
  </si>
  <si>
    <t>EUR (equipada)</t>
  </si>
  <si>
    <t>Financiamento / Financing</t>
  </si>
  <si>
    <t>EUR a credito</t>
  </si>
  <si>
    <t>Prazo credito / Loan term</t>
  </si>
  <si>
    <t>anos @ TAEG</t>
  </si>
  <si>
    <t>Frota / Fleet</t>
  </si>
  <si>
    <t>1 carrinha / 1 van</t>
  </si>
  <si>
    <t>modelo de 1 carrinha</t>
  </si>
  <si>
    <t>km compra -&gt; venda / km buy-&gt;sell</t>
  </si>
  <si>
    <t>80k -&gt; 200k</t>
  </si>
  <si>
    <t>vende ao atingir alvo</t>
  </si>
  <si>
    <t>Preco epoca alta / High-season price</t>
  </si>
  <si>
    <t>EUR/dia</t>
  </si>
  <si>
    <t>Ocupacao media / Avg occupancy</t>
  </si>
  <si>
    <t>dias alug./disponiveis</t>
  </si>
  <si>
    <t>ESTRUTURA / STRUCTURE</t>
  </si>
  <si>
    <t>1.  Pressupostos / Assumptions</t>
  </si>
  <si>
    <t>Inputs a azul / blue inputs</t>
  </si>
  <si>
    <t>2.  Financiamento / Loan</t>
  </si>
  <si>
    <t>Tabela price 84 meses</t>
  </si>
  <si>
    <t>3.  Receita / Revenue</t>
  </si>
  <si>
    <t>Ocupacao x preco por epoca</t>
  </si>
  <si>
    <t>4.  Custos / Costs</t>
  </si>
  <si>
    <t>Variaveis + fixos + negocio</t>
  </si>
  <si>
    <t>5.  DRE / P&amp;L</t>
  </si>
  <si>
    <t>Resultados mensais Ano 1</t>
  </si>
  <si>
    <t>6.  Resumo Multianual / Multi-year</t>
  </si>
  <si>
    <t>Ano 1-&gt;venda, c/ a venda incluida</t>
  </si>
  <si>
    <t>7.  Tesouraria / Cash Flow</t>
  </si>
  <si>
    <t>Caixa mensal Ano 1 c/ IVA</t>
  </si>
  <si>
    <t>8.  Ponto Critico / Break-Even</t>
  </si>
  <si>
    <t>Dias e ocupacao criticos</t>
  </si>
  <si>
    <t>9.  Sensibilidades / Sensitivity</t>
  </si>
  <si>
    <t>Lucro vs ocupacao e preco</t>
  </si>
  <si>
    <t>10.  Quilometragem / Mileage</t>
  </si>
  <si>
    <t>km ao longo do tempo (80k-&gt;200k)</t>
  </si>
  <si>
    <t>11.  Venda / Resale</t>
  </si>
  <si>
    <t>Valor de revenda e quando vender</t>
  </si>
  <si>
    <t>Nota: valores de mercado PT (Yescapa/Goboony, CoolDrive, CamperDays). Edite as celulas a AZUL no separador Pressupostos.</t>
  </si>
  <si>
    <t>Note: PT market figures. Edit the BLUE cells in the Assumptions tab to run your own scenarios.</t>
  </si>
  <si>
    <t>PRESSUPOSTOS / ASSUMPTIONS</t>
  </si>
  <si>
    <t>Aluguer de campervans / Campervan rental  —  edite as celulas a AZUL / edit the BLUE cells</t>
  </si>
  <si>
    <t>A. VEICULO E FINANCIAMENTO / VEHICLE &amp; FINANCING</t>
  </si>
  <si>
    <t>Parametro / Parameter</t>
  </si>
  <si>
    <t>Valor / Value</t>
  </si>
  <si>
    <t>Unid./Unit</t>
  </si>
  <si>
    <t>Fonte-Nota / Source-Note</t>
  </si>
  <si>
    <t>Preco compra carrinha / Purchase price (c/ conversao)</t>
  </si>
  <si>
    <t>EUR</t>
  </si>
  <si>
    <t>Campervan equipada ~40k (mercado PT)</t>
  </si>
  <si>
    <t>Entrada / Down payment</t>
  </si>
  <si>
    <t>%</t>
  </si>
  <si>
    <t>10% de entrada, resto a credito</t>
  </si>
  <si>
    <t>Valor financiado / Amount financed</t>
  </si>
  <si>
    <t>Calculado</t>
  </si>
  <si>
    <t>Entrada (valor) / Down payment value</t>
  </si>
  <si>
    <t>anos</t>
  </si>
  <si>
    <t>Credito automovel/pessoal</t>
  </si>
  <si>
    <t>Taxa juro anual (TAEG) / Annual rate</t>
  </si>
  <si>
    <t>TAEG estimada credito PT 2026</t>
  </si>
  <si>
    <t>Vida util / Useful life</t>
  </si>
  <si>
    <t>Depreciacao linear</t>
  </si>
  <si>
    <t>Valor residual / Residual value</t>
  </si>
  <si>
    <t>Valor de revenda estimado</t>
  </si>
  <si>
    <t>Depreciacao anual / Annual depreciation</t>
  </si>
  <si>
    <t>EUR/ano</t>
  </si>
  <si>
    <t>Linear: (compra-residual)/vida</t>
  </si>
  <si>
    <t>B. PRECOS POR EPOCA / PRICING BY SEASON (por dia / per day)</t>
  </si>
  <si>
    <t>Epoca baixa / Low (Nov-Mar)</t>
  </si>
  <si>
    <t>Mercado PT: 50-70 EUR/dia</t>
  </si>
  <si>
    <t>Epoca media / Shoulder (Abr-Mai, Out)</t>
  </si>
  <si>
    <t>Mercado PT: 90-120 EUR/dia</t>
  </si>
  <si>
    <t>Epoca alta / High (Jun-Set)</t>
  </si>
  <si>
    <t>Mercado PT: 150-175 EUR/dia</t>
  </si>
  <si>
    <t>Crescimento preco anual / Annual price growth</t>
  </si>
  <si>
    <t>Inflacao/posicionamento</t>
  </si>
  <si>
    <t>C. OCUPACAO POR EPOCA / OCCUPANCY BY SEASON (% dias disponiveis)</t>
  </si>
  <si>
    <t>Epoca baixa / Low</t>
  </si>
  <si>
    <t>Operador pequeno: ~25% off-peak</t>
  </si>
  <si>
    <t>Epoca media / Shoulder</t>
  </si>
  <si>
    <t>Media anual setor ~55%</t>
  </si>
  <si>
    <t>Epoca alta / High</t>
  </si>
  <si>
    <t>Pico verao 80-90%</t>
  </si>
  <si>
    <t>D. EXTRAS, COMISSOES E OPERACAO / EXTRAS, FEES &amp; OPERATIONS</t>
  </si>
  <si>
    <t>Receita extras (% s/ aluguer) / Extras revenue</t>
  </si>
  <si>
    <t>Limpeza, kit, km, seguro extra</t>
  </si>
  <si>
    <t>Comissao plataforma / Platform commission</t>
  </si>
  <si>
    <t>Yescapa/Goboony (status profissional)</t>
  </si>
  <si>
    <t>Duracao media reserva / Avg booking length</t>
  </si>
  <si>
    <t>dias</t>
  </si>
  <si>
    <t>Media setor ~6-7 dias</t>
  </si>
  <si>
    <t>Custo limpeza+consumiveis / Cleaning+consumables</t>
  </si>
  <si>
    <t>EUR/reserva</t>
  </si>
  <si>
    <t>Limpeza, lavandaria, gas, quimicos</t>
  </si>
  <si>
    <t>Dias indisponiveis/mes / Unavailable days per month</t>
  </si>
  <si>
    <t>Manutencao/limpeza entre reservas</t>
  </si>
  <si>
    <t>E. CUSTOS FIXOS POR CARRINHA / FIXED COSTS PER VAN</t>
  </si>
  <si>
    <t>Seguro comercial / Commercial insurance</t>
  </si>
  <si>
    <t>EUR/mes</t>
  </si>
  <si>
    <t>Seguro aluguer (s/ IVA)</t>
  </si>
  <si>
    <t>Manutencao+pneus / Maintenance+tyres</t>
  </si>
  <si>
    <t>Revisoes, pneus, desgaste</t>
  </si>
  <si>
    <t>Parqueamento / Parking</t>
  </si>
  <si>
    <t>Lugar quando parada</t>
  </si>
  <si>
    <t>IUC (imposto circulacao) / Road tax</t>
  </si>
  <si>
    <t>Imposto unico circulacao</t>
  </si>
  <si>
    <t>Inspecao IPO / Inspection</t>
  </si>
  <si>
    <t>Inspecao periodica</t>
  </si>
  <si>
    <t>Assistencia em viagem / Breakdown assist.</t>
  </si>
  <si>
    <t>Assistencia 24/7</t>
  </si>
  <si>
    <t>F. CUSTOS FIXOS DO NEGOCIO / BUSINESS OVERHEAD (nao por carrinha)</t>
  </si>
  <si>
    <t>Contabilidade / Accounting</t>
  </si>
  <si>
    <t>Contabilista</t>
  </si>
  <si>
    <t>Marketing+website</t>
  </si>
  <si>
    <t>Anuncios, site, fotos</t>
  </si>
  <si>
    <t>Banco+diversos / Bank+misc</t>
  </si>
  <si>
    <t>Comissoes, contingencia</t>
  </si>
  <si>
    <t>Crescimento overhead anual / Overhead growth</t>
  </si>
  <si>
    <t>Inflacao</t>
  </si>
  <si>
    <t>G. FROTA / FLEET</t>
  </si>
  <si>
    <t>Carrinhas / Vans</t>
  </si>
  <si>
    <t>un</t>
  </si>
  <si>
    <t>Modelo de 1 carrinha / single van</t>
  </si>
  <si>
    <t>Capital inicial / Initial capital</t>
  </si>
  <si>
    <t>Poupanca do promotor</t>
  </si>
  <si>
    <t>H. IMPOSTOS / TAXES</t>
  </si>
  <si>
    <t>Taxa IVA / VAT rate</t>
  </si>
  <si>
    <t>Taxa normal PT (aluguer viaturas)</t>
  </si>
  <si>
    <t>% IVA dedutivel custos / VAT deductible on costs</t>
  </si>
  <si>
    <t>Viatura comercial: 100% (ajustar)</t>
  </si>
  <si>
    <t>IRC PME (1os 50k) / SME corporate tax</t>
  </si>
  <si>
    <t>Taxa reduzida PME 16% ate 50k</t>
  </si>
  <si>
    <t>I. QUILOMETRAGEM / MILEAGE</t>
  </si>
  <si>
    <t>km na compra / km at purchase</t>
  </si>
  <si>
    <t>km</t>
  </si>
  <si>
    <t>Comprada usada com 80 mil km</t>
  </si>
  <si>
    <t>km por dia alugado / km per rented day</t>
  </si>
  <si>
    <t>km/dia</t>
  </si>
  <si>
    <t>Viagem media de aluguer (PT)</t>
  </si>
  <si>
    <t>km alvo de venda / target sale km</t>
  </si>
  <si>
    <t>Objetivo de venda</t>
  </si>
  <si>
    <t>J. VALOR DE REVENDA / RESALE VALUE</t>
  </si>
  <si>
    <t>Valor da carrinha na compra / Value at purchase</t>
  </si>
  <si>
    <t>(=preco de compra)</t>
  </si>
  <si>
    <t>Depreciacao por km / Depreciation per km</t>
  </si>
  <si>
    <t>EUR/km</t>
  </si>
  <si>
    <t>Desgaste medio (diesel bem mantido)</t>
  </si>
  <si>
    <t>Depreciacao por ano (idade) / Depreciation per year</t>
  </si>
  <si>
    <t>Envelhecimento mecanico</t>
  </si>
  <si>
    <t>Valor minimo de revenda / Floor value</t>
  </si>
  <si>
    <t>Valor de sucata/minimo</t>
  </si>
  <si>
    <t>FINANCIAMENTO / LOAN AMORTIZATION (1 carrinha / per van)</t>
  </si>
  <si>
    <t>Tabela price (prestacao constante) / French amortization</t>
  </si>
  <si>
    <t>Capital financiado / Principal</t>
  </si>
  <si>
    <t>Taxa mensal / Monthly rate</t>
  </si>
  <si>
    <t>N. prestacoes / Payments</t>
  </si>
  <si>
    <t>Prestacao mensal / Monthly payment (PMT)</t>
  </si>
  <si>
    <t>Mes/Month</t>
  </si>
  <si>
    <t>Saldo inicial/Open</t>
  </si>
  <si>
    <t>Juro/Interest</t>
  </si>
  <si>
    <t>Capital/Principal</t>
  </si>
  <si>
    <t>Saldo final/Close</t>
  </si>
  <si>
    <t>RESUMO ANUAL DO EMPRESTIMO / ANNUAL LOAN SUMMARY (1 carrinha)</t>
  </si>
  <si>
    <t>Ano do emprestimo / Loan year</t>
  </si>
  <si>
    <t>Juro / Interest</t>
  </si>
  <si>
    <t>Capital / Principal</t>
  </si>
  <si>
    <t>RECEITA / REVENUE  -  Ano 1 mensal / Year 1 monthly (1 carrinha)</t>
  </si>
  <si>
    <t>Ocupacao x preco, ajustado a epoca / Occupancy x price, season-adjusted</t>
  </si>
  <si>
    <t>Rubrica / Item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</si>
  <si>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</si>
  <si>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</si>
  <si>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</si>
  <si>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</si>
  <si>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</si>
  <si>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</si>
  <si>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</si>
  <si>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</si>
  <si>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</si>
  <si>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</si>
  <si>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</si>
  <si>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</si>
  <si>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Ano 1</t>
  </si>
  <si>
    <t>Epoca / Season</t>
  </si>
  <si>
    <t>B</t>
  </si>
  <si>
    <t>M</t>
  </si>
  <si>
    <t>A</t>
  </si>
  <si>
    <t>Dias do mes / Days in month</t>
  </si>
  <si>
    <t>Dias disponiveis / Available days</t>
  </si>
  <si>
    <t>Ocupacao / Occupancy</t>
  </si>
  <si>
    <t>Preco/dia / Daily rate</t>
  </si>
  <si>
    <t>Dias alugados / Rented days</t>
  </si>
  <si>
    <t>Receita aluguer / Rental revenue</t>
  </si>
  <si>
    <t>Receita extras / Extras revenue</t>
  </si>
  <si>
    <t>RECEITA TOTAL / TOTAL REVENUE</t>
  </si>
  <si>
    <t>N. reservas / Bookings</t>
  </si>
  <si>
    <t>CUSTOS / COSTS  -  Ano 1 mensal / Year 1 monthly (1 carrinha)</t>
  </si>
  <si>
    <t>Variaveis (por reserva) + fixos (por carrinha) + negocio / Variable + fixed + overhead</t>
  </si>
  <si>
    <t>VARIAVEIS / VARIABLE</t>
  </si>
  <si>
    <t>Limpeza+consumiveis / Cleaning+consumables</t>
  </si>
  <si>
    <t>Subtotal variaveis / Subtotal variable</t>
  </si>
  <si>
    <t>FIXOS POR CARRINHA / FIXED PER VAN  (x carrinhas Ano 1)</t>
  </si>
  <si>
    <t>Seguro / Insurance</t>
  </si>
  <si>
    <t>Manutencao+pneus / Maintenance</t>
  </si>
  <si>
    <t>IUC / Road tax (1/12)</t>
  </si>
  <si>
    <t>IPO / Inspection (1/12)</t>
  </si>
  <si>
    <t>Assistencia / Breakdown (1/12)</t>
  </si>
  <si>
    <t>Subtotal fixos carrinha / Subtotal per-van</t>
  </si>
  <si>
    <t>NEGOCIO / OVERHEAD</t>
  </si>
  <si>
    <t>Subtotal negocio / Subtotal overhead</t>
  </si>
  <si>
    <t>NAO-CAIXA E FINANCEIRO / NON-CASH &amp; FINANCING</t>
  </si>
  <si>
    <t>Depreciacao / Depreciation</t>
  </si>
  <si>
    <t>Juro emprestimo / Loan interest</t>
  </si>
  <si>
    <t>DRE / P&amp;L  -  Ano 1 mensal / Year 1 monthly</t>
  </si>
  <si>
    <t>Demonstracao de resultados / Income statement</t>
  </si>
  <si>
    <t>Receita total / Total revenue</t>
  </si>
  <si>
    <t>(-) Custos variaveis / Variable costs</t>
  </si>
  <si>
    <t xml:space="preserve"> = Margem contribuicao / Contribution margin</t>
  </si>
  <si>
    <t>(-) Fixos carrinha / Per-van fixed</t>
  </si>
  <si>
    <t>(-) Negocio / Overhead</t>
  </si>
  <si>
    <t xml:space="preserve"> = EBITDA</t>
  </si>
  <si>
    <t>(-) Depreciacao / Depreciation</t>
  </si>
  <si>
    <t xml:space="preserve"> = EBIT</t>
  </si>
  <si>
    <t>(-) Juros / Interest</t>
  </si>
  <si>
    <t xml:space="preserve"> = Resultado antes impostos / EBT</t>
  </si>
  <si>
    <t>(-) IRC / Corporate tax</t>
  </si>
  <si>
    <t xml:space="preserve"> = RESULTADO LIQUIDO / NET PROFIT</t>
  </si>
  <si>
    <t>RESUMO MULTIANUAL / MULTI-YEAR SUMMARY (1 carrinha, ate a venda)</t>
  </si>
  <si>
    <t>Ano 1 = total do plano mensal | Anos seguintes anuais | venda quando atinge o alvo km</t>
  </si>
  <si>
    <t>Rubrica / Item (EUR)</t>
  </si>
  <si>
    <t>Ano 1 (mensal)</t>
  </si>
  <si>
    <t>Ano 2</t>
  </si>
  <si>
    <t>Ano 3</t>
  </si>
  <si>
    <t>Ano 4</t>
  </si>
  <si>
    <t>Ano 5</t>
  </si>
  <si>
    <t>Ano 6</t>
  </si>
  <si>
    <t>Carrinha em operacao? / Van in service?</t>
  </si>
  <si>
    <t>Receita / Revenue</t>
  </si>
  <si>
    <t>EBITDA</t>
  </si>
  <si>
    <t xml:space="preserve"> = EBT</t>
  </si>
  <si>
    <t>(-) IRC</t>
  </si>
  <si>
    <t xml:space="preserve"> = Resultado operacional / Operating profit</t>
  </si>
  <si>
    <t>(+/-) Resultado da venda (liq. imposto) / Disposal result net</t>
  </si>
  <si>
    <t xml:space="preserve"> = RESULTADO TOTAL / TOTAL RESULT</t>
  </si>
  <si>
    <t>CAIXA / CASH</t>
  </si>
  <si>
    <t>Caixa gerada no ano / Cash generated in year</t>
  </si>
  <si>
    <t>Caixa acumulada / Cumulative cash</t>
  </si>
  <si>
    <t>BALANCO DA OPERACAO / LIFETIME SUMMARY</t>
  </si>
  <si>
    <t>Ano da venda / Year of sale</t>
  </si>
  <si>
    <t>Lucro operacional acumulado / Cumulative operating profit</t>
  </si>
  <si>
    <t>(+/-) Resultado da venda (liq.) / Disposal result net</t>
  </si>
  <si>
    <t xml:space="preserve"> = LUCRO TOTAL (alugueres+venda) / TOTAL PROFIT (rentals+sale)</t>
  </si>
  <si>
    <t>Caixa acumulada final (inclui capital proprio) / Final cash</t>
  </si>
  <si>
    <t>(+) Caixa dos alugueres / Rental cash</t>
  </si>
  <si>
    <t>(+) Venda da carrinha / Sale of the van</t>
  </si>
  <si>
    <t>(-) Custo da carrinha (compra+juros) / Van cost</t>
  </si>
  <si>
    <t xml:space="preserve"> = GANHO TOTAL DE CAIXA / TOTAL CASH GAIN</t>
  </si>
  <si>
    <t>Nota: a carrinha e vendida no ano em que atinge o alvo de km; depois a operacao para.</t>
  </si>
  <si>
    <t>Note: van is sold the year it hits the target km; operations stop afterwards. Edit km/day or target in Assumptions.</t>
  </si>
  <si>
    <t>RETORNO DO INVESTIMENTO / RETURN ON INVESTMENT (dinheiro real)</t>
  </si>
  <si>
    <t>Fim do ano / End of year</t>
  </si>
  <si>
    <t>Ano 1</t>
  </si>
  <si>
    <t>Dinheiro da empresa / Company cash</t>
  </si>
  <si>
    <t>x investimento inicial / x initial investment</t>
  </si>
  <si>
    <t>Crescimento acumulado / Cumulative growth</t>
  </si>
  <si>
    <t>Fluxo para o investidor / Investor cash flow</t>
  </si>
  <si>
    <t>Ano / Year</t>
  </si>
  <si>
    <t>Entradas/saidas de caixa / Cash in/out</t>
  </si>
  <si>
    <t>Investimento inicial / Initial investment</t>
  </si>
  <si>
    <t>Dinheiro no fim (ano da venda) / Money at the end</t>
  </si>
  <si>
    <t>Ganho liquido / Net gain</t>
  </si>
  <si>
    <t>Multiplo do investimento / Money multiple</t>
  </si>
  <si>
    <t>Retorno total / Total return</t>
  </si>
  <si>
    <t>Retorno anual (TIR) / Annual return (IRR)</t>
  </si>
  <si>
    <t>Crescimento medio anual / Avg annual growth (CAGR)</t>
  </si>
  <si>
    <t>TIR = retorno se retirares a caixa gerada cada ano. CAGR = crescimento do dinheiro deixado a acumular ate a venda.</t>
  </si>
  <si>
    <t>IRR = return if you take out the cash each year. CAGR = growth of the money left to accumulate until the sale.</t>
  </si>
  <si>
    <t>TESOURARIA / CASH FLOW  -  Ano 1 mensal / Year 1 monthly</t>
  </si>
  <si>
    <t>Inclui IVA, financiamento e capital / Incl. VAT, financing &amp; capital</t>
  </si>
  <si>
    <t>IVA liquidado (info) / Output VAT</t>
  </si>
  <si>
    <t>IVA dedutivel (info) / Input VAT</t>
  </si>
  <si>
    <t>FLUXOS DE CAIXA / CASH FLOWS</t>
  </si>
  <si>
    <t>(+) Capital inicial / Initial capital</t>
  </si>
  <si>
    <t>0</t>
  </si>
  <si>
    <t>(+) Recebimentos (c/ IVA) / Receipts incl. VAT</t>
  </si>
  <si>
    <t>(-) Pagamentos op. (c/ IVA) / Op. payments incl. VAT</t>
  </si>
  <si>
    <t>(-) Entrada compra / Down payment</t>
  </si>
  <si>
    <t>(-) Prestacao credito / Loan instalment</t>
  </si>
  <si>
    <t>(-) Acerto IVA (trim.) / VAT settlement (qtr)</t>
  </si>
  <si>
    <t>(-) IRC (pago em Dez) / Tax paid (Dec)</t>
  </si>
  <si>
    <t xml:space="preserve"> = Fluxo liquido / Net cash flow</t>
  </si>
  <si>
    <t>Saldo acumulado / Cumulative balance</t>
  </si>
  <si>
    <t>PONTO CRITICO / BREAK-EVEN  (Ano 1, 1 carrinha)</t>
  </si>
  <si>
    <t>Quantos dias alugados para nao ter prejuizo / Rented days to break even</t>
  </si>
  <si>
    <t>Preco medio/dia / Avg daily rate</t>
  </si>
  <si>
    <t>Receita aluguer / dias alugados</t>
  </si>
  <si>
    <t>Margem contribuicao por dia alugado / Contribution per rented day</t>
  </si>
  <si>
    <t>Preco x extras x (1-comissao) - limpeza/dia</t>
  </si>
  <si>
    <t>Custos fixos anuais / Annual fixed costs</t>
  </si>
  <si>
    <t>Fixos carrinha + negocio + deprec. + juros</t>
  </si>
  <si>
    <t>PONTO CRITICO - dias alugados / BREAK-EVEN rented days</t>
  </si>
  <si>
    <t>dias/ano</t>
  </si>
  <si>
    <t>Fixos / margem por dia</t>
  </si>
  <si>
    <t>Dias alugados previstos / Forecast rented days</t>
  </si>
  <si>
    <t>Do plano (Receita)</t>
  </si>
  <si>
    <t>Ocupacao critica / Break-even occupancy</t>
  </si>
  <si>
    <t>Dias criticos / dias disponiveis</t>
  </si>
  <si>
    <t>Folga / Margin of safety</t>
  </si>
  <si>
    <t>(previsto-critico)/previsto</t>
  </si>
  <si>
    <t>ANALISE DE SENSIBILIDADE / SENSITIVITY</t>
  </si>
  <si>
    <t>Resultado liquido Ano 1 (EUR) vs ocupacao e preco / Net profit Y1 vs occupancy &amp; price</t>
  </si>
  <si>
    <t>Base aluguer Ano 1 / Base rental rev</t>
  </si>
  <si>
    <t>Base reservas Ano 1 / Base bookings</t>
  </si>
  <si>
    <t>Fixos+deprec.+juros / Fixed+dep+int</t>
  </si>
  <si>
    <t>PRECO / PRICE (fator)</t>
  </si>
  <si>
    <t>Lucro Ano 1 -&gt; / Net Y1</t>
  </si>
  <si>
    <t>Celula central = cenario base / Centre = base case</t>
  </si>
  <si>
    <t>QUILOMETRAGEM AO LONGO DO TEMPO / MILEAGE OVER TIME (1 carrinha)</t>
  </si>
  <si>
    <t>Comprada com 80 mil km; quando atinge o alvo de venda / from 80k km to target</t>
  </si>
  <si>
    <t>Dias alugados/ano / Rented days per year</t>
  </si>
  <si>
    <t>km por ano / km per year</t>
  </si>
  <si>
    <t>Ano 7</t>
  </si>
  <si>
    <t>km do ano / km this year</t>
  </si>
  <si>
    <t>km acumulado / total km</t>
  </si>
  <si>
    <t>QUANDO ATINGE / WHEN IT REACHES</t>
  </si>
  <si>
    <t>150.000 km</t>
  </si>
  <si>
    <t>anos / years</t>
  </si>
  <si>
    <t>175.000 km</t>
  </si>
  <si>
    <t>atinge o alvo de venda (200k km) / reaches sale target</t>
  </si>
  <si>
    <t>VENDA DA CARRINHA / RESALE &amp; HOLD-PERIOD (1 carrinha)</t>
  </si>
  <si>
    <t>Valor de revenda vs km/idade + quando vender / resale value &amp; when to sell</t>
  </si>
  <si>
    <t>km no fim do ano / km at year-end</t>
  </si>
  <si>
    <t>Valor de revenda (mercado) / Resale value (market)</t>
  </si>
  <si>
    <t>Valor contabilistico (linear) / Book value</t>
  </si>
  <si>
    <t>Mais/menos-valia na venda / Gain or (loss) on sale</t>
  </si>
  <si>
    <t>Saldo do emprestimo / Loan balance</t>
  </si>
  <si>
    <t>Caixa liq. da venda (s/ impostos) / Net sale cash</t>
  </si>
  <si>
    <t>RESULTADO OPERACIONAL POR ANO (1 carrinha) / OPERATING P&amp;L PER YEAR</t>
  </si>
  <si>
    <t xml:space="preserve"> = Resultado liquido / Net profit</t>
  </si>
  <si>
    <t>Lucro acumulado / Cumulative profit</t>
  </si>
  <si>
    <t>LUCRO TOTAL (alugueres + venda) / Total profit (rentals + sale)</t>
  </si>
  <si>
    <t>Ganho de manter +1 ano / Gain from holding +1yr</t>
  </si>
  <si>
    <t>DECISAO DE VENDA / SALE DECISION</t>
  </si>
  <si>
    <t>Ano em que atinge o alvo (200k km) / Year reaching target</t>
  </si>
  <si>
    <t>km na venda / km at sale</t>
  </si>
  <si>
    <t>Preco de venda / Sale price</t>
  </si>
  <si>
    <t>Valor contabilistico / Book value (linear)</t>
  </si>
  <si>
    <t>Mais/menos-valia / Gain or (loss) on sale</t>
  </si>
  <si>
    <t>Imposto / tax saving s/ mais-valia (IRC)</t>
  </si>
  <si>
    <t>Liquidacao do emprestimo / Loan payoff</t>
  </si>
  <si>
    <t xml:space="preserve"> = CAIXA LIQUIDA DA VENDA / NET CASH FROM SALE</t>
  </si>
  <si>
    <t>Lucro acumulado ate a venda / Cumulative profit to sale</t>
  </si>
  <si>
    <t>Nota: a DEPRECIACAO (no resultado anual) e a MAIS/MENOS-VALIA na venda NAO se somam duas vezes: juntas = perda real de valor = compra menos revenda.</t>
  </si>
  <si>
    <t>Note: yearly DEPRECIATION + GAIN/(LOSS) at sale together equal the real value lost (purchase - resale). No double counting. 'Total profit' = cumulative operating profit + after-tax disposal result.</t>
  </si>
  <si>
    <t>GANHO TOTAL = ALUGUERES + VENDA - CUSTO / TOTAL GAIN = RENTALS + SALE - COST</t>
  </si>
  <si>
    <t>(+) Caixa dos alugueres acumulada / Rental cash (cumulative)</t>
  </si>
  <si>
    <t>(-) Custo da carrinha: compra + juros / Van cost: purchase + interest</t>
  </si>
  <si>
    <t>Nota: junta tudo o que a carrinha gera. ALUGUERES (positivo) + VENDA (positivo) - CUSTO da carrinha e juros (negativo).</t>
  </si>
  <si>
    <t>Note: combines everything the van produces. RENTALS (+) + SALE (+) - van COST and interest (-). The van alone loses, rentals make it profitable.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</si>
</sst>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\-"/>
    <numFmt numFmtId="165" formatCode="0.0%"/>
    <numFmt numFmtId="166" formatCode="#,##0.00;\(#,##0.00\);\-"/>
    <numFmt numFmtId="167" formatCode="0.000"/>
    <numFmt numFmtId="168" formatCode="0.0000%"/>
    <numFmt numFmtId="169" formatCode="0.0"/>
    <numFmt numFmtId="170" formatCode="0.0\x"/>
    <numFmt numFmtId="171" formatCode="0.00\x"/>
  </numFmts>
  <fonts count="11" x14ac:knownFonts="1">
    <font>
      <sz val="11"/>
      <color theme="1"/>
      <name val="Calibri"/>
      <family val="2"/>
      <charset val="1"/>
    </font>
    <font>
      <b/>
      <sz val="18"/>
      <color rgb="FF1F3864"/>
      <name val="Arial"/>
      <family val="2"/>
    </font>
    <font>
      <b/>
      <sz val="13"/>
      <color rgb="FF2E5496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i/>
      <sz val="8"/>
      <color rgb="FF808080"/>
      <name val="Arial"/>
      <family val="2"/>
    </font>
    <font>
      <b/>
      <sz val="14"/>
      <color rgb="FF1F3864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164" fontId="6" fillId="0" borderId="1" xfId="0" applyNumberFormat="1" applyFont="1" applyBorder="1" applyAlignment="1">
      <alignment horizontal="right"/>
    </xf>
    <xf numFmtId="0" fontId="7" fillId="0" borderId="1" xfId="0" applyFont="1" applyBorder="1"/>
    <xf numFmtId="1" fontId="6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0" fontId="7" fillId="0" borderId="0" xfId="0" applyFont="1"/>
    <xf numFmtId="0" fontId="8" fillId="0" borderId="0" xfId="0" applyFont="1"/>
    <xf numFmtId="0" fontId="9" fillId="3" borderId="1" xfId="0" applyFont="1" applyFill="1" applyBorder="1"/>
    <xf numFmtId="0" fontId="5" fillId="0" borderId="1" xfId="0" applyFont="1" applyBorder="1" applyAlignment="1">
      <alignment horizontal="left" vertical="center" wrapText="1"/>
    </xf>
    <xf numFmtId="166" fontId="10" fillId="4" borderId="1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65" fontId="10" fillId="4" borderId="1" xfId="0" applyNumberFormat="1" applyFont="1" applyFill="1" applyBorder="1" applyAlignment="1">
      <alignment horizontal="right"/>
    </xf>
    <xf numFmtId="166" fontId="5" fillId="0" borderId="1" xfId="0" applyNumberFormat="1" applyFont="1" applyBorder="1" applyAlignment="1">
      <alignment horizontal="right"/>
    </xf>
    <xf numFmtId="1" fontId="10" fillId="4" borderId="1" xfId="0" applyNumberFormat="1" applyFont="1" applyFill="1" applyBorder="1" applyAlignment="1">
      <alignment horizontal="right"/>
    </xf>
    <xf numFmtId="3" fontId="10" fillId="4" borderId="1" xfId="0" applyNumberFormat="1" applyFont="1" applyFill="1" applyBorder="1" applyAlignment="1">
      <alignment horizontal="right"/>
    </xf>
    <xf numFmtId="167" fontId="10" fillId="4" borderId="1" xfId="0" applyNumberFormat="1" applyFont="1" applyFill="1" applyBorder="1" applyAlignment="1">
      <alignment horizontal="right"/>
    </xf>
    <xf numFmtId="0" fontId="9" fillId="0" borderId="0" xfId="0" applyFont="1"/>
    <xf numFmtId="164" fontId="6" fillId="0" borderId="0" xfId="0" applyNumberFormat="1" applyFont="1"/>
    <xf numFmtId="168" fontId="6" fillId="0" borderId="0" xfId="0" applyNumberFormat="1" applyFont="1"/>
    <xf numFmtId="1" fontId="6" fillId="0" borderId="0" xfId="0" applyNumberFormat="1" applyFont="1"/>
    <xf numFmtId="166" fontId="5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/>
    <xf numFmtId="0" fontId="9" fillId="3" borderId="1" xfId="0" applyFont="1" applyFill="1" applyBorder="1" applyAlignment="1">
      <alignment horizontal="center" vertical="center"/>
    </xf>
    <xf numFmtId="164" fontId="5" fillId="0" borderId="1" xfId="0" applyNumberFormat="1" applyFont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1" fontId="5" fillId="0" borderId="1" xfId="0" applyNumberFormat="1" applyFont="1" applyBorder="1" applyAlignment="1">
      <alignment horizontal="right"/>
    </xf>
    <xf numFmtId="1" fontId="9" fillId="0" borderId="1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165" fontId="9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169" fontId="5" fillId="0" borderId="1" xfId="0" applyNumberFormat="1" applyFont="1" applyBorder="1" applyAlignment="1">
      <alignment horizontal="right"/>
    </xf>
    <xf numFmtId="169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left" vertical="center" wrapText="1"/>
    </xf>
    <xf numFmtId="164" fontId="9" fillId="6" borderId="1" xfId="0" applyNumberFormat="1" applyFont="1" applyFill="1" applyBorder="1" applyAlignment="1">
      <alignment horizontal="right"/>
    </xf>
    <xf numFmtId="0" fontId="0" fillId="3" borderId="1" xfId="0" applyFill="1" applyBorder="1"/>
    <xf numFmtId="0" fontId="6" fillId="0" borderId="1" xfId="0" applyFont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164" fontId="9" fillId="7" borderId="1" xfId="0" applyNumberFormat="1" applyFont="1" applyFill="1" applyBorder="1" applyAlignment="1">
      <alignment horizontal="right"/>
    </xf>
    <xf numFmtId="0" fontId="9" fillId="6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164" fontId="9" fillId="4" borderId="1" xfId="0" applyNumberFormat="1" applyFont="1" applyFill="1" applyBorder="1" applyAlignment="1">
      <alignment horizontal="right"/>
    </xf>
    <xf numFmtId="1" fontId="9" fillId="4" borderId="1" xfId="0" applyNumberFormat="1" applyFont="1" applyFill="1" applyBorder="1" applyAlignment="1">
      <alignment horizontal="right"/>
    </xf>
    <xf numFmtId="164" fontId="5" fillId="7" borderId="1" xfId="0" applyNumberFormat="1" applyFont="1" applyFill="1" applyBorder="1" applyAlignment="1">
      <alignment horizontal="right"/>
    </xf>
    <xf numFmtId="0" fontId="6" fillId="0" borderId="1" xfId="0" applyFont="1" applyBorder="1"/>
    <xf numFmtId="170" fontId="5" fillId="0" borderId="1" xfId="0" applyNumberFormat="1" applyFont="1" applyBorder="1" applyAlignment="1">
      <alignment horizontal="right"/>
    </xf>
    <xf numFmtId="165" fontId="9" fillId="6" borderId="1" xfId="0" applyNumberFormat="1" applyFont="1" applyFill="1" applyBorder="1" applyAlignment="1">
      <alignment horizontal="right"/>
    </xf>
    <xf numFmtId="171" fontId="9" fillId="4" borderId="1" xfId="0" applyNumberFormat="1" applyFont="1" applyFill="1" applyBorder="1" applyAlignment="1">
      <alignment horizontal="right"/>
    </xf>
    <xf numFmtId="165" fontId="9" fillId="4" borderId="1" xfId="0" applyNumberFormat="1" applyFont="1" applyFill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164" fontId="9" fillId="0" borderId="1" xfId="0" applyNumberFormat="1" applyFont="1" applyBorder="1"/>
    <xf numFmtId="0" fontId="9" fillId="3" borderId="1" xfId="0" applyFont="1" applyFill="1" applyBorder="1" applyAlignment="1">
      <alignment horizontal="left" vertical="center" wrapText="1"/>
    </xf>
    <xf numFmtId="164" fontId="5" fillId="3" borderId="1" xfId="0" applyNumberFormat="1" applyFont="1" applyFill="1" applyBorder="1" applyAlignment="1">
      <alignment horizontal="right"/>
    </xf>
    <xf numFmtId="164" fontId="9" fillId="3" borderId="1" xfId="0" applyNumberFormat="1" applyFont="1" applyFill="1" applyBorder="1"/>
    <xf numFmtId="164" fontId="9" fillId="7" borderId="1" xfId="0" applyNumberFormat="1" applyFont="1" applyFill="1" applyBorder="1"/>
    <xf numFmtId="0" fontId="0" fillId="6" borderId="1" xfId="0" applyFill="1" applyBorder="1"/>
    <xf numFmtId="169" fontId="9" fillId="4" borderId="1" xfId="0" applyNumberFormat="1" applyFont="1" applyFill="1" applyBorder="1" applyAlignment="1">
      <alignment horizontal="right"/>
    </xf>
    <xf numFmtId="169" fontId="6" fillId="0" borderId="0" xfId="0" applyNumberFormat="1" applyFont="1"/>
    <xf numFmtId="165" fontId="4" fillId="2" borderId="1" xfId="0" applyNumberFormat="1" applyFont="1" applyFill="1" applyBorder="1" applyAlignment="1">
      <alignment horizontal="center" vertical="center"/>
    </xf>
    <xf numFmtId="3" fontId="6" fillId="0" borderId="0" xfId="0" applyNumberFormat="1" applyFont="1"/>
    <xf numFmtId="3" fontId="5" fillId="0" borderId="0" xfId="0" applyNumberFormat="1" applyFont="1"/>
    <xf numFmtId="3" fontId="5" fillId="0" borderId="1" xfId="0" applyNumberFormat="1" applyFont="1" applyBorder="1" applyAlignment="1">
      <alignment horizontal="right"/>
    </xf>
    <xf numFmtId="3" fontId="9" fillId="6" borderId="1" xfId="0" applyNumberFormat="1" applyFont="1" applyFill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1" fontId="9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km acumulado / Total km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Quilometragem_Mileage!$C$10:$I$10</c:f>
              <c:strCache>
                <c:ptCount val="7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  <c:pt idx="5">
                  <c:v>Ano 6</c:v>
                </c:pt>
                <c:pt idx="6">
                  <c:v>Ano 7</c:v>
                </c:pt>
              </c:strCache>
            </c:strRef>
          </c:cat>
          <c:val>
            <c:numRef>
              <c:f>Quilometragem_Mileage!$C$12:$I$12</c:f>
              <c:numCache>
                <c:formatCode>#,##0</c:formatCode>
                <c:ptCount val="7"/>
                <c:pt idx="0">
                  <c:v>113044</c:v>
                </c:pt>
                <c:pt idx="1">
                  <c:v>146088</c:v>
                </c:pt>
                <c:pt idx="2">
                  <c:v>179132</c:v>
                </c:pt>
                <c:pt idx="3">
                  <c:v>212176</c:v>
                </c:pt>
                <c:pt idx="4">
                  <c:v>245220</c:v>
                </c:pt>
                <c:pt idx="5">
                  <c:v>278264</c:v>
                </c:pt>
                <c:pt idx="6">
                  <c:v>311308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E2-9E48-97C8-6A32D9D8F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3323046"/>
        <c:axId val="24631004"/>
      </c:lineChart>
      <c:catAx>
        <c:axId val="433230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Ano /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T"/>
          </a:p>
        </c:txPr>
        <c:crossAx val="24631004"/>
        <c:crosses val="autoZero"/>
        <c:auto val="1"/>
        <c:lblAlgn val="ctr"/>
        <c:lblOffset val="100"/>
        <c:noMultiLvlLbl val="0"/>
      </c:catAx>
      <c:valAx>
        <c:axId val="246310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km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T"/>
          </a:p>
        </c:txPr>
        <c:crossAx val="433230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160560</xdr:rowOff>
    </xdr:from>
    <xdr:to>
      <xdr:col>4</xdr:col>
      <xdr:colOff>528840</xdr:colOff>
      <xdr:row>33</xdr:row>
      <xdr:rowOff>13320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9"/>
  <sheetViews>
    <sheetView showGridLines="0" tabSelected="1" zoomScaleNormal="100" workbookViewId="0"/>
  </sheetViews>
  <sheetFormatPr baseColWidth="10" defaultColWidth="8.6640625" defaultRowHeight="15" x14ac:dyDescent="0.2"/>
  <cols>
    <col min="1" max="1" width="2" customWidth="1"/>
    <col min="2" max="2" width="40" customWidth="1"/>
    <col min="3" max="3" width="22" customWidth="1"/>
    <col min="4" max="4" width="14" customWidth="1"/>
    <col min="5" max="5" width="4" customWidth="1"/>
    <col min="6" max="6" width="40" customWidth="1"/>
  </cols>
  <sheetData>
    <row r="2" spans="2:4" ht="23" x14ac:dyDescent="0.25">
      <c r="B2" s="1" t="s">
        <v>0</v>
      </c>
    </row>
    <row r="3" spans="2:4" ht="17" x14ac:dyDescent="0.2">
      <c r="B3" s="2" t="s">
        <v>1</v>
      </c>
    </row>
    <row r="4" spans="2:4" x14ac:dyDescent="0.2">
      <c r="B4" s="3" t="s">
        <v>2</v>
      </c>
    </row>
    <row r="6" spans="2:4" x14ac:dyDescent="0.2">
      <c r="B6" s="4" t="s">
        <v>3</v>
      </c>
      <c r="C6" s="5"/>
    </row>
    <row r="7" spans="2:4" x14ac:dyDescent="0.2">
      <c r="B7" s="6" t="s">
        <v>4</v>
      </c>
      <c r="C7" s="7">
        <f>Pressupostos_Assumpt!C7</f>
        <v>40000</v>
      </c>
      <c r="D7" s="8" t="s">
        <v>5</v>
      </c>
    </row>
    <row r="8" spans="2:4" x14ac:dyDescent="0.2">
      <c r="B8" s="6" t="s">
        <v>6</v>
      </c>
      <c r="C8" s="7">
        <f>Pressupostos_Assumpt!C9</f>
        <v>36000</v>
      </c>
      <c r="D8" s="8" t="s">
        <v>7</v>
      </c>
    </row>
    <row r="9" spans="2:4" x14ac:dyDescent="0.2">
      <c r="B9" s="6" t="s">
        <v>8</v>
      </c>
      <c r="C9" s="9">
        <f>Pressupostos_Assumpt!C11</f>
        <v>7</v>
      </c>
      <c r="D9" s="8" t="s">
        <v>9</v>
      </c>
    </row>
    <row r="10" spans="2:4" x14ac:dyDescent="0.2">
      <c r="B10" s="6" t="s">
        <v>10</v>
      </c>
      <c r="C10" s="10" t="s">
        <v>11</v>
      </c>
      <c r="D10" s="8" t="s">
        <v>12</v>
      </c>
    </row>
    <row r="11" spans="2:4" x14ac:dyDescent="0.2">
      <c r="B11" s="6" t="s">
        <v>13</v>
      </c>
      <c r="C11" s="10" t="s">
        <v>14</v>
      </c>
      <c r="D11" s="8" t="s">
        <v>15</v>
      </c>
    </row>
    <row r="12" spans="2:4" x14ac:dyDescent="0.2">
      <c r="B12" s="6" t="s">
        <v>16</v>
      </c>
      <c r="C12" s="7">
        <f>Pressupostos_Assumpt!C20</f>
        <v>160</v>
      </c>
      <c r="D12" s="8" t="s">
        <v>17</v>
      </c>
    </row>
    <row r="13" spans="2:4" x14ac:dyDescent="0.2">
      <c r="B13" s="6" t="s">
        <v>18</v>
      </c>
      <c r="C13" s="11">
        <f>Receita_Revenue!O11/Receita_Revenue!O8</f>
        <v>0.48451612903225805</v>
      </c>
      <c r="D13" s="8" t="s">
        <v>19</v>
      </c>
    </row>
    <row r="15" spans="2:4" x14ac:dyDescent="0.2">
      <c r="B15" s="4" t="s">
        <v>20</v>
      </c>
      <c r="C15" s="5"/>
    </row>
    <row r="16" spans="2:4" x14ac:dyDescent="0.2">
      <c r="B16" s="6" t="s">
        <v>21</v>
      </c>
      <c r="C16" s="8" t="s">
        <v>22</v>
      </c>
    </row>
    <row r="17" spans="2:3" x14ac:dyDescent="0.2">
      <c r="B17" s="6" t="s">
        <v>23</v>
      </c>
      <c r="C17" s="8" t="s">
        <v>24</v>
      </c>
    </row>
    <row r="18" spans="2:3" x14ac:dyDescent="0.2">
      <c r="B18" s="6" t="s">
        <v>25</v>
      </c>
      <c r="C18" s="8" t="s">
        <v>26</v>
      </c>
    </row>
    <row r="19" spans="2:3" x14ac:dyDescent="0.2">
      <c r="B19" s="6" t="s">
        <v>27</v>
      </c>
      <c r="C19" s="8" t="s">
        <v>28</v>
      </c>
    </row>
    <row r="20" spans="2:3" x14ac:dyDescent="0.2">
      <c r="B20" s="6" t="s">
        <v>29</v>
      </c>
      <c r="C20" s="8" t="s">
        <v>30</v>
      </c>
    </row>
    <row r="21" spans="2:3" x14ac:dyDescent="0.2">
      <c r="B21" s="6" t="s">
        <v>31</v>
      </c>
      <c r="C21" s="8" t="s">
        <v>32</v>
      </c>
    </row>
    <row r="22" spans="2:3" x14ac:dyDescent="0.2">
      <c r="B22" s="6" t="s">
        <v>33</v>
      </c>
      <c r="C22" s="8" t="s">
        <v>34</v>
      </c>
    </row>
    <row r="23" spans="2:3" x14ac:dyDescent="0.2">
      <c r="B23" s="6" t="s">
        <v>35</v>
      </c>
      <c r="C23" s="8" t="s">
        <v>36</v>
      </c>
    </row>
    <row r="24" spans="2:3" x14ac:dyDescent="0.2">
      <c r="B24" s="6" t="s">
        <v>37</v>
      </c>
      <c r="C24" s="8" t="s">
        <v>38</v>
      </c>
    </row>
    <row r="25" spans="2:3" x14ac:dyDescent="0.2">
      <c r="B25" s="6" t="s">
        <v>39</v>
      </c>
      <c r="C25" s="8" t="s">
        <v>40</v>
      </c>
    </row>
    <row r="26" spans="2:3" x14ac:dyDescent="0.2">
      <c r="B26" s="6" t="s">
        <v>41</v>
      </c>
      <c r="C26" s="8" t="s">
        <v>42</v>
      </c>
    </row>
    <row r="28" spans="2:3" x14ac:dyDescent="0.2">
      <c r="B28" s="12" t="s">
        <v>43</v>
      </c>
    </row>
    <row r="29" spans="2:3" x14ac:dyDescent="0.2">
      <c r="B29" s="12" t="s">
        <v>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67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46" customWidth="1"/>
    <col min="3" max="3" width="14" customWidth="1"/>
    <col min="4" max="4" width="12" customWidth="1"/>
    <col min="5" max="5" width="46" customWidth="1"/>
  </cols>
  <sheetData>
    <row r="2" spans="2:5" ht="18" x14ac:dyDescent="0.2">
      <c r="B2" s="13" t="s">
        <v>45</v>
      </c>
    </row>
    <row r="3" spans="2:5" x14ac:dyDescent="0.2">
      <c r="B3" s="3" t="s">
        <v>46</v>
      </c>
    </row>
    <row r="5" spans="2:5" x14ac:dyDescent="0.2">
      <c r="B5" s="4" t="s">
        <v>47</v>
      </c>
      <c r="C5" s="5"/>
      <c r="D5" s="5"/>
      <c r="E5" s="5"/>
    </row>
    <row r="6" spans="2:5" x14ac:dyDescent="0.2">
      <c r="B6" s="14" t="s">
        <v>48</v>
      </c>
      <c r="C6" s="14" t="s">
        <v>49</v>
      </c>
      <c r="D6" s="14" t="s">
        <v>50</v>
      </c>
      <c r="E6" s="14" t="s">
        <v>51</v>
      </c>
    </row>
    <row r="7" spans="2:5" x14ac:dyDescent="0.2">
      <c r="B7" s="15" t="s">
        <v>52</v>
      </c>
      <c r="C7" s="16">
        <v>40000</v>
      </c>
      <c r="D7" s="17" t="s">
        <v>53</v>
      </c>
      <c r="E7" s="18" t="s">
        <v>54</v>
      </c>
    </row>
    <row r="8" spans="2:5" x14ac:dyDescent="0.2">
      <c r="B8" s="15" t="s">
        <v>55</v>
      </c>
      <c r="C8" s="19">
        <v>0.1</v>
      </c>
      <c r="D8" s="17" t="s">
        <v>56</v>
      </c>
      <c r="E8" s="18" t="s">
        <v>57</v>
      </c>
    </row>
    <row r="9" spans="2:5" x14ac:dyDescent="0.2">
      <c r="B9" s="15" t="s">
        <v>58</v>
      </c>
      <c r="C9" s="20">
        <f>Pressupostos_Assumpt!C7*(1-Pressupostos_Assumpt!C8)</f>
        <v>36000</v>
      </c>
      <c r="D9" s="17" t="s">
        <v>53</v>
      </c>
      <c r="E9" s="18" t="s">
        <v>59</v>
      </c>
    </row>
    <row r="10" spans="2:5" x14ac:dyDescent="0.2">
      <c r="B10" s="15" t="s">
        <v>60</v>
      </c>
      <c r="C10" s="20">
        <f>Pressupostos_Assumpt!C7*Pressupostos_Assumpt!C8</f>
        <v>4000</v>
      </c>
      <c r="D10" s="17" t="s">
        <v>53</v>
      </c>
      <c r="E10" s="18" t="s">
        <v>59</v>
      </c>
    </row>
    <row r="11" spans="2:5" x14ac:dyDescent="0.2">
      <c r="B11" s="15" t="s">
        <v>8</v>
      </c>
      <c r="C11" s="21">
        <v>7</v>
      </c>
      <c r="D11" s="17" t="s">
        <v>61</v>
      </c>
      <c r="E11" s="18" t="s">
        <v>62</v>
      </c>
    </row>
    <row r="12" spans="2:5" x14ac:dyDescent="0.2">
      <c r="B12" s="15" t="s">
        <v>63</v>
      </c>
      <c r="C12" s="19">
        <v>0.08</v>
      </c>
      <c r="D12" s="17" t="s">
        <v>56</v>
      </c>
      <c r="E12" s="18" t="s">
        <v>64</v>
      </c>
    </row>
    <row r="13" spans="2:5" x14ac:dyDescent="0.2">
      <c r="B13" s="15" t="s">
        <v>65</v>
      </c>
      <c r="C13" s="21">
        <v>8</v>
      </c>
      <c r="D13" s="17" t="s">
        <v>61</v>
      </c>
      <c r="E13" s="18" t="s">
        <v>66</v>
      </c>
    </row>
    <row r="14" spans="2:5" x14ac:dyDescent="0.2">
      <c r="B14" s="15" t="s">
        <v>67</v>
      </c>
      <c r="C14" s="16">
        <v>8000</v>
      </c>
      <c r="D14" s="17" t="s">
        <v>53</v>
      </c>
      <c r="E14" s="18" t="s">
        <v>68</v>
      </c>
    </row>
    <row r="15" spans="2:5" x14ac:dyDescent="0.2">
      <c r="B15" s="15" t="s">
        <v>69</v>
      </c>
      <c r="C15" s="20">
        <f>(Pressupostos_Assumpt!C7-Pressupostos_Assumpt!C14)/Pressupostos_Assumpt!C13</f>
        <v>4000</v>
      </c>
      <c r="D15" s="17" t="s">
        <v>70</v>
      </c>
      <c r="E15" s="18" t="s">
        <v>71</v>
      </c>
    </row>
    <row r="16" spans="2:5" x14ac:dyDescent="0.2">
      <c r="B16" s="4" t="s">
        <v>72</v>
      </c>
      <c r="C16" s="5"/>
      <c r="D16" s="5"/>
      <c r="E16" s="5"/>
    </row>
    <row r="17" spans="2:5" x14ac:dyDescent="0.2">
      <c r="B17" s="14" t="s">
        <v>48</v>
      </c>
      <c r="C17" s="14" t="s">
        <v>49</v>
      </c>
      <c r="D17" s="14" t="s">
        <v>50</v>
      </c>
      <c r="E17" s="14" t="s">
        <v>51</v>
      </c>
    </row>
    <row r="18" spans="2:5" x14ac:dyDescent="0.2">
      <c r="B18" s="15" t="s">
        <v>73</v>
      </c>
      <c r="C18" s="16">
        <v>65</v>
      </c>
      <c r="D18" s="17" t="s">
        <v>17</v>
      </c>
      <c r="E18" s="18" t="s">
        <v>74</v>
      </c>
    </row>
    <row r="19" spans="2:5" x14ac:dyDescent="0.2">
      <c r="B19" s="15" t="s">
        <v>75</v>
      </c>
      <c r="C19" s="16">
        <v>105</v>
      </c>
      <c r="D19" s="17" t="s">
        <v>17</v>
      </c>
      <c r="E19" s="18" t="s">
        <v>76</v>
      </c>
    </row>
    <row r="20" spans="2:5" x14ac:dyDescent="0.2">
      <c r="B20" s="15" t="s">
        <v>77</v>
      </c>
      <c r="C20" s="16">
        <v>160</v>
      </c>
      <c r="D20" s="17" t="s">
        <v>17</v>
      </c>
      <c r="E20" s="18" t="s">
        <v>78</v>
      </c>
    </row>
    <row r="21" spans="2:5" x14ac:dyDescent="0.2">
      <c r="B21" s="15" t="s">
        <v>79</v>
      </c>
      <c r="C21" s="19">
        <v>0.03</v>
      </c>
      <c r="D21" s="17" t="s">
        <v>56</v>
      </c>
      <c r="E21" s="18" t="s">
        <v>80</v>
      </c>
    </row>
    <row r="22" spans="2:5" x14ac:dyDescent="0.2">
      <c r="B22" s="4" t="s">
        <v>81</v>
      </c>
      <c r="C22" s="5"/>
      <c r="D22" s="5"/>
      <c r="E22" s="5"/>
    </row>
    <row r="23" spans="2:5" x14ac:dyDescent="0.2">
      <c r="B23" s="14" t="s">
        <v>48</v>
      </c>
      <c r="C23" s="14" t="s">
        <v>49</v>
      </c>
      <c r="D23" s="14" t="s">
        <v>50</v>
      </c>
      <c r="E23" s="14" t="s">
        <v>51</v>
      </c>
    </row>
    <row r="24" spans="2:5" x14ac:dyDescent="0.2">
      <c r="B24" s="15" t="s">
        <v>82</v>
      </c>
      <c r="C24" s="19">
        <v>0.22</v>
      </c>
      <c r="D24" s="17" t="s">
        <v>56</v>
      </c>
      <c r="E24" s="18" t="s">
        <v>83</v>
      </c>
    </row>
    <row r="25" spans="2:5" x14ac:dyDescent="0.2">
      <c r="B25" s="15" t="s">
        <v>84</v>
      </c>
      <c r="C25" s="19">
        <v>0.5</v>
      </c>
      <c r="D25" s="17" t="s">
        <v>56</v>
      </c>
      <c r="E25" s="18" t="s">
        <v>85</v>
      </c>
    </row>
    <row r="26" spans="2:5" x14ac:dyDescent="0.2">
      <c r="B26" s="15" t="s">
        <v>86</v>
      </c>
      <c r="C26" s="19">
        <v>0.8</v>
      </c>
      <c r="D26" s="17" t="s">
        <v>56</v>
      </c>
      <c r="E26" s="18" t="s">
        <v>87</v>
      </c>
    </row>
    <row r="27" spans="2:5" x14ac:dyDescent="0.2">
      <c r="B27" s="4" t="s">
        <v>88</v>
      </c>
      <c r="C27" s="5"/>
      <c r="D27" s="5"/>
      <c r="E27" s="5"/>
    </row>
    <row r="28" spans="2:5" x14ac:dyDescent="0.2">
      <c r="B28" s="14" t="s">
        <v>48</v>
      </c>
      <c r="C28" s="14" t="s">
        <v>49</v>
      </c>
      <c r="D28" s="14" t="s">
        <v>50</v>
      </c>
      <c r="E28" s="14" t="s">
        <v>51</v>
      </c>
    </row>
    <row r="29" spans="2:5" x14ac:dyDescent="0.2">
      <c r="B29" s="15" t="s">
        <v>89</v>
      </c>
      <c r="C29" s="19">
        <v>0.12</v>
      </c>
      <c r="D29" s="17" t="s">
        <v>56</v>
      </c>
      <c r="E29" s="18" t="s">
        <v>90</v>
      </c>
    </row>
    <row r="30" spans="2:5" x14ac:dyDescent="0.2">
      <c r="B30" s="15" t="s">
        <v>91</v>
      </c>
      <c r="C30" s="19">
        <v>0.15</v>
      </c>
      <c r="D30" s="17" t="s">
        <v>56</v>
      </c>
      <c r="E30" s="18" t="s">
        <v>92</v>
      </c>
    </row>
    <row r="31" spans="2:5" x14ac:dyDescent="0.2">
      <c r="B31" s="15" t="s">
        <v>93</v>
      </c>
      <c r="C31" s="21">
        <v>6</v>
      </c>
      <c r="D31" s="17" t="s">
        <v>94</v>
      </c>
      <c r="E31" s="18" t="s">
        <v>95</v>
      </c>
    </row>
    <row r="32" spans="2:5" x14ac:dyDescent="0.2">
      <c r="B32" s="15" t="s">
        <v>96</v>
      </c>
      <c r="C32" s="16">
        <v>40</v>
      </c>
      <c r="D32" s="17" t="s">
        <v>97</v>
      </c>
      <c r="E32" s="18" t="s">
        <v>98</v>
      </c>
    </row>
    <row r="33" spans="2:5" x14ac:dyDescent="0.2">
      <c r="B33" s="15" t="s">
        <v>99</v>
      </c>
      <c r="C33" s="21">
        <v>2</v>
      </c>
      <c r="D33" s="17" t="s">
        <v>94</v>
      </c>
      <c r="E33" s="18" t="s">
        <v>100</v>
      </c>
    </row>
    <row r="34" spans="2:5" x14ac:dyDescent="0.2">
      <c r="B34" s="4" t="s">
        <v>101</v>
      </c>
      <c r="C34" s="5"/>
      <c r="D34" s="5"/>
      <c r="E34" s="5"/>
    </row>
    <row r="35" spans="2:5" x14ac:dyDescent="0.2">
      <c r="B35" s="14" t="s">
        <v>48</v>
      </c>
      <c r="C35" s="14" t="s">
        <v>49</v>
      </c>
      <c r="D35" s="14" t="s">
        <v>50</v>
      </c>
      <c r="E35" s="14" t="s">
        <v>51</v>
      </c>
    </row>
    <row r="36" spans="2:5" x14ac:dyDescent="0.2">
      <c r="B36" s="15" t="s">
        <v>102</v>
      </c>
      <c r="C36" s="16">
        <v>150</v>
      </c>
      <c r="D36" s="17" t="s">
        <v>103</v>
      </c>
      <c r="E36" s="18" t="s">
        <v>104</v>
      </c>
    </row>
    <row r="37" spans="2:5" x14ac:dyDescent="0.2">
      <c r="B37" s="15" t="s">
        <v>105</v>
      </c>
      <c r="C37" s="16">
        <v>70</v>
      </c>
      <c r="D37" s="17" t="s">
        <v>103</v>
      </c>
      <c r="E37" s="18" t="s">
        <v>106</v>
      </c>
    </row>
    <row r="38" spans="2:5" x14ac:dyDescent="0.2">
      <c r="B38" s="15" t="s">
        <v>107</v>
      </c>
      <c r="C38" s="16">
        <v>50</v>
      </c>
      <c r="D38" s="17" t="s">
        <v>103</v>
      </c>
      <c r="E38" s="18" t="s">
        <v>108</v>
      </c>
    </row>
    <row r="39" spans="2:5" x14ac:dyDescent="0.2">
      <c r="B39" s="15" t="s">
        <v>109</v>
      </c>
      <c r="C39" s="16">
        <v>250</v>
      </c>
      <c r="D39" s="17" t="s">
        <v>70</v>
      </c>
      <c r="E39" s="18" t="s">
        <v>110</v>
      </c>
    </row>
    <row r="40" spans="2:5" x14ac:dyDescent="0.2">
      <c r="B40" s="15" t="s">
        <v>111</v>
      </c>
      <c r="C40" s="16">
        <v>40</v>
      </c>
      <c r="D40" s="17" t="s">
        <v>70</v>
      </c>
      <c r="E40" s="18" t="s">
        <v>112</v>
      </c>
    </row>
    <row r="41" spans="2:5" x14ac:dyDescent="0.2">
      <c r="B41" s="15" t="s">
        <v>113</v>
      </c>
      <c r="C41" s="16">
        <v>120</v>
      </c>
      <c r="D41" s="17" t="s">
        <v>70</v>
      </c>
      <c r="E41" s="18" t="s">
        <v>114</v>
      </c>
    </row>
    <row r="42" spans="2:5" x14ac:dyDescent="0.2">
      <c r="B42" s="4" t="s">
        <v>115</v>
      </c>
      <c r="C42" s="5"/>
      <c r="D42" s="5"/>
      <c r="E42" s="5"/>
    </row>
    <row r="43" spans="2:5" x14ac:dyDescent="0.2">
      <c r="B43" s="14" t="s">
        <v>48</v>
      </c>
      <c r="C43" s="14" t="s">
        <v>49</v>
      </c>
      <c r="D43" s="14" t="s">
        <v>50</v>
      </c>
      <c r="E43" s="14" t="s">
        <v>51</v>
      </c>
    </row>
    <row r="44" spans="2:5" x14ac:dyDescent="0.2">
      <c r="B44" s="15" t="s">
        <v>116</v>
      </c>
      <c r="C44" s="16">
        <v>100</v>
      </c>
      <c r="D44" s="17" t="s">
        <v>103</v>
      </c>
      <c r="E44" s="18" t="s">
        <v>117</v>
      </c>
    </row>
    <row r="45" spans="2:5" x14ac:dyDescent="0.2">
      <c r="B45" s="15" t="s">
        <v>118</v>
      </c>
      <c r="C45" s="16">
        <v>80</v>
      </c>
      <c r="D45" s="17" t="s">
        <v>103</v>
      </c>
      <c r="E45" s="18" t="s">
        <v>119</v>
      </c>
    </row>
    <row r="46" spans="2:5" x14ac:dyDescent="0.2">
      <c r="B46" s="15" t="s">
        <v>120</v>
      </c>
      <c r="C46" s="16">
        <v>30</v>
      </c>
      <c r="D46" s="17" t="s">
        <v>103</v>
      </c>
      <c r="E46" s="18" t="s">
        <v>121</v>
      </c>
    </row>
    <row r="47" spans="2:5" x14ac:dyDescent="0.2">
      <c r="B47" s="15" t="s">
        <v>122</v>
      </c>
      <c r="C47" s="19">
        <v>0.03</v>
      </c>
      <c r="D47" s="17" t="s">
        <v>56</v>
      </c>
      <c r="E47" s="18" t="s">
        <v>123</v>
      </c>
    </row>
    <row r="48" spans="2:5" x14ac:dyDescent="0.2">
      <c r="B48" s="4" t="s">
        <v>124</v>
      </c>
      <c r="C48" s="5"/>
      <c r="D48" s="5"/>
      <c r="E48" s="5"/>
    </row>
    <row r="49" spans="2:5" x14ac:dyDescent="0.2">
      <c r="B49" s="14" t="s">
        <v>48</v>
      </c>
      <c r="C49" s="14" t="s">
        <v>49</v>
      </c>
      <c r="D49" s="14" t="s">
        <v>50</v>
      </c>
      <c r="E49" s="14" t="s">
        <v>51</v>
      </c>
    </row>
    <row r="50" spans="2:5" x14ac:dyDescent="0.2">
      <c r="B50" s="15" t="s">
        <v>125</v>
      </c>
      <c r="C50" s="21">
        <v>1</v>
      </c>
      <c r="D50" s="17" t="s">
        <v>126</v>
      </c>
      <c r="E50" s="18" t="s">
        <v>127</v>
      </c>
    </row>
    <row r="51" spans="2:5" x14ac:dyDescent="0.2">
      <c r="B51" s="15" t="s">
        <v>128</v>
      </c>
      <c r="C51" s="16">
        <v>12000</v>
      </c>
      <c r="D51" s="17" t="s">
        <v>53</v>
      </c>
      <c r="E51" s="18" t="s">
        <v>129</v>
      </c>
    </row>
    <row r="52" spans="2:5" x14ac:dyDescent="0.2">
      <c r="B52" s="4" t="s">
        <v>130</v>
      </c>
      <c r="C52" s="5"/>
      <c r="D52" s="5"/>
      <c r="E52" s="5"/>
    </row>
    <row r="53" spans="2:5" x14ac:dyDescent="0.2">
      <c r="B53" s="14" t="s">
        <v>48</v>
      </c>
      <c r="C53" s="14" t="s">
        <v>49</v>
      </c>
      <c r="D53" s="14" t="s">
        <v>50</v>
      </c>
      <c r="E53" s="14" t="s">
        <v>51</v>
      </c>
    </row>
    <row r="54" spans="2:5" x14ac:dyDescent="0.2">
      <c r="B54" s="15" t="s">
        <v>131</v>
      </c>
      <c r="C54" s="19">
        <v>0.23</v>
      </c>
      <c r="D54" s="17" t="s">
        <v>56</v>
      </c>
      <c r="E54" s="18" t="s">
        <v>132</v>
      </c>
    </row>
    <row r="55" spans="2:5" x14ac:dyDescent="0.2">
      <c r="B55" s="15" t="s">
        <v>133</v>
      </c>
      <c r="C55" s="19">
        <v>1</v>
      </c>
      <c r="D55" s="17" t="s">
        <v>56</v>
      </c>
      <c r="E55" s="18" t="s">
        <v>134</v>
      </c>
    </row>
    <row r="56" spans="2:5" x14ac:dyDescent="0.2">
      <c r="B56" s="15" t="s">
        <v>135</v>
      </c>
      <c r="C56" s="19">
        <v>0.16</v>
      </c>
      <c r="D56" s="17" t="s">
        <v>56</v>
      </c>
      <c r="E56" s="18" t="s">
        <v>136</v>
      </c>
    </row>
    <row r="57" spans="2:5" x14ac:dyDescent="0.2">
      <c r="B57" s="4" t="s">
        <v>137</v>
      </c>
      <c r="C57" s="5"/>
      <c r="D57" s="5"/>
      <c r="E57" s="5"/>
    </row>
    <row r="58" spans="2:5" x14ac:dyDescent="0.2">
      <c r="B58" s="14" t="s">
        <v>48</v>
      </c>
      <c r="C58" s="14" t="s">
        <v>49</v>
      </c>
      <c r="D58" s="14" t="s">
        <v>50</v>
      </c>
      <c r="E58" s="14" t="s">
        <v>51</v>
      </c>
    </row>
    <row r="59" spans="2:5" x14ac:dyDescent="0.2">
      <c r="B59" s="15" t="s">
        <v>138</v>
      </c>
      <c r="C59" s="22">
        <v>80000</v>
      </c>
      <c r="D59" s="17" t="s">
        <v>139</v>
      </c>
      <c r="E59" s="18" t="s">
        <v>140</v>
      </c>
    </row>
    <row r="60" spans="2:5" x14ac:dyDescent="0.2">
      <c r="B60" s="15" t="s">
        <v>141</v>
      </c>
      <c r="C60" s="22">
        <v>200</v>
      </c>
      <c r="D60" s="17" t="s">
        <v>142</v>
      </c>
      <c r="E60" s="18" t="s">
        <v>143</v>
      </c>
    </row>
    <row r="61" spans="2:5" x14ac:dyDescent="0.2">
      <c r="B61" s="15" t="s">
        <v>144</v>
      </c>
      <c r="C61" s="22">
        <v>200000</v>
      </c>
      <c r="D61" s="17" t="s">
        <v>139</v>
      </c>
      <c r="E61" s="18" t="s">
        <v>145</v>
      </c>
    </row>
    <row r="62" spans="2:5" x14ac:dyDescent="0.2">
      <c r="B62" s="4" t="s">
        <v>146</v>
      </c>
      <c r="C62" s="5"/>
      <c r="D62" s="5"/>
      <c r="E62" s="5"/>
    </row>
    <row r="63" spans="2:5" x14ac:dyDescent="0.2">
      <c r="B63" s="14" t="s">
        <v>48</v>
      </c>
      <c r="C63" s="14" t="s">
        <v>49</v>
      </c>
      <c r="D63" s="14" t="s">
        <v>50</v>
      </c>
      <c r="E63" s="14" t="s">
        <v>51</v>
      </c>
    </row>
    <row r="64" spans="2:5" x14ac:dyDescent="0.2">
      <c r="B64" s="15" t="s">
        <v>147</v>
      </c>
      <c r="C64" s="20">
        <f>Pressupostos_Assumpt!C7</f>
        <v>40000</v>
      </c>
      <c r="D64" s="17" t="s">
        <v>53</v>
      </c>
      <c r="E64" s="18" t="s">
        <v>148</v>
      </c>
    </row>
    <row r="65" spans="2:5" x14ac:dyDescent="0.2">
      <c r="B65" s="15" t="s">
        <v>149</v>
      </c>
      <c r="C65" s="23">
        <v>0.13</v>
      </c>
      <c r="D65" s="17" t="s">
        <v>150</v>
      </c>
      <c r="E65" s="18" t="s">
        <v>151</v>
      </c>
    </row>
    <row r="66" spans="2:5" x14ac:dyDescent="0.2">
      <c r="B66" s="15" t="s">
        <v>152</v>
      </c>
      <c r="C66" s="16">
        <v>800</v>
      </c>
      <c r="D66" s="17" t="s">
        <v>70</v>
      </c>
      <c r="E66" s="18" t="s">
        <v>153</v>
      </c>
    </row>
    <row r="67" spans="2:5" x14ac:dyDescent="0.2">
      <c r="B67" s="15" t="s">
        <v>154</v>
      </c>
      <c r="C67" s="16">
        <v>9000</v>
      </c>
      <c r="D67" s="17" t="s">
        <v>53</v>
      </c>
      <c r="E67" s="18" t="s">
        <v>155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04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8" customWidth="1"/>
    <col min="3" max="7" width="14" customWidth="1"/>
  </cols>
  <sheetData>
    <row r="2" spans="2:6" ht="18" x14ac:dyDescent="0.2">
      <c r="B2" s="13" t="s">
        <v>156</v>
      </c>
    </row>
    <row r="3" spans="2:6" x14ac:dyDescent="0.2">
      <c r="B3" s="3" t="s">
        <v>157</v>
      </c>
    </row>
    <row r="5" spans="2:6" x14ac:dyDescent="0.2">
      <c r="B5" s="24" t="s">
        <v>158</v>
      </c>
      <c r="C5" s="25">
        <f>Pressupostos_Assumpt!C9</f>
        <v>36000</v>
      </c>
    </row>
    <row r="6" spans="2:6" x14ac:dyDescent="0.2">
      <c r="B6" s="24" t="s">
        <v>159</v>
      </c>
      <c r="C6" s="26">
        <f>Pressupostos_Assumpt!C12/12</f>
        <v>6.6666666666666671E-3</v>
      </c>
    </row>
    <row r="7" spans="2:6" x14ac:dyDescent="0.2">
      <c r="B7" s="24" t="s">
        <v>160</v>
      </c>
      <c r="C7" s="27">
        <f>Pressupostos_Assumpt!C11*12</f>
        <v>84</v>
      </c>
    </row>
    <row r="8" spans="2:6" x14ac:dyDescent="0.2">
      <c r="B8" s="24" t="s">
        <v>161</v>
      </c>
      <c r="C8" s="28">
        <f>PMT(C6,C7,-C5)</f>
        <v>561.10371849610351</v>
      </c>
    </row>
    <row r="10" spans="2:6" x14ac:dyDescent="0.2">
      <c r="B10" s="29" t="s">
        <v>162</v>
      </c>
      <c r="C10" s="29" t="s">
        <v>163</v>
      </c>
      <c r="D10" s="29" t="s">
        <v>164</v>
      </c>
      <c r="E10" s="29" t="s">
        <v>165</v>
      </c>
      <c r="F10" s="29" t="s">
        <v>166</v>
      </c>
    </row>
    <row r="11" spans="2:6" x14ac:dyDescent="0.2">
      <c r="B11" s="30">
        <v>1</v>
      </c>
      <c r="C11" s="31">
        <f>C5</f>
        <v>36000</v>
      </c>
      <c r="D11" s="31">
        <f t="shared" ref="D11:D42" si="0">C11*$C$6</f>
        <v>240.00000000000003</v>
      </c>
      <c r="E11" s="31">
        <f t="shared" ref="E11:E42" si="1">$C$8-D11</f>
        <v>321.10371849610351</v>
      </c>
      <c r="F11" s="31">
        <f t="shared" ref="F11:F42" si="2">C11-E11</f>
        <v>35678.896281503898</v>
      </c>
    </row>
    <row r="12" spans="2:6" x14ac:dyDescent="0.2">
      <c r="B12" s="30">
        <v>2</v>
      </c>
      <c r="C12" s="31">
        <f t="shared" ref="C12:C43" si="3">F11</f>
        <v>35678.896281503898</v>
      </c>
      <c r="D12" s="31">
        <f t="shared" si="0"/>
        <v>237.85930854335933</v>
      </c>
      <c r="E12" s="31">
        <f t="shared" si="1"/>
        <v>323.24440995274415</v>
      </c>
      <c r="F12" s="31">
        <f t="shared" si="2"/>
        <v>35355.651871551156</v>
      </c>
    </row>
    <row r="13" spans="2:6" x14ac:dyDescent="0.2">
      <c r="B13" s="30">
        <v>3</v>
      </c>
      <c r="C13" s="31">
        <f t="shared" si="3"/>
        <v>35355.651871551156</v>
      </c>
      <c r="D13" s="31">
        <f t="shared" si="0"/>
        <v>235.70434581034104</v>
      </c>
      <c r="E13" s="31">
        <f t="shared" si="1"/>
        <v>325.3993726857625</v>
      </c>
      <c r="F13" s="31">
        <f t="shared" si="2"/>
        <v>35030.252498865389</v>
      </c>
    </row>
    <row r="14" spans="2:6" x14ac:dyDescent="0.2">
      <c r="B14" s="30">
        <v>4</v>
      </c>
      <c r="C14" s="31">
        <f t="shared" si="3"/>
        <v>35030.252498865389</v>
      </c>
      <c r="D14" s="31">
        <f t="shared" si="0"/>
        <v>233.53501665910261</v>
      </c>
      <c r="E14" s="31">
        <f t="shared" si="1"/>
        <v>327.5687018370009</v>
      </c>
      <c r="F14" s="31">
        <f t="shared" si="2"/>
        <v>34702.683797028389</v>
      </c>
    </row>
    <row r="15" spans="2:6" x14ac:dyDescent="0.2">
      <c r="B15" s="30">
        <v>5</v>
      </c>
      <c r="C15" s="31">
        <f t="shared" si="3"/>
        <v>34702.683797028389</v>
      </c>
      <c r="D15" s="31">
        <f t="shared" si="0"/>
        <v>231.3512253135226</v>
      </c>
      <c r="E15" s="31">
        <f t="shared" si="1"/>
        <v>329.75249318258091</v>
      </c>
      <c r="F15" s="31">
        <f t="shared" si="2"/>
        <v>34372.931303845806</v>
      </c>
    </row>
    <row r="16" spans="2:6" x14ac:dyDescent="0.2">
      <c r="B16" s="30">
        <v>6</v>
      </c>
      <c r="C16" s="31">
        <f t="shared" si="3"/>
        <v>34372.931303845806</v>
      </c>
      <c r="D16" s="31">
        <f t="shared" si="0"/>
        <v>229.15287535897204</v>
      </c>
      <c r="E16" s="31">
        <f t="shared" si="1"/>
        <v>331.95084313713147</v>
      </c>
      <c r="F16" s="31">
        <f t="shared" si="2"/>
        <v>34040.980460708677</v>
      </c>
    </row>
    <row r="17" spans="2:6" x14ac:dyDescent="0.2">
      <c r="B17" s="30">
        <v>7</v>
      </c>
      <c r="C17" s="31">
        <f t="shared" si="3"/>
        <v>34040.980460708677</v>
      </c>
      <c r="D17" s="31">
        <f t="shared" si="0"/>
        <v>226.93986973805787</v>
      </c>
      <c r="E17" s="31">
        <f t="shared" si="1"/>
        <v>334.16384875804567</v>
      </c>
      <c r="F17" s="31">
        <f t="shared" si="2"/>
        <v>33706.816611950635</v>
      </c>
    </row>
    <row r="18" spans="2:6" x14ac:dyDescent="0.2">
      <c r="B18" s="30">
        <v>8</v>
      </c>
      <c r="C18" s="31">
        <f t="shared" si="3"/>
        <v>33706.816611950635</v>
      </c>
      <c r="D18" s="31">
        <f t="shared" si="0"/>
        <v>224.71211074633757</v>
      </c>
      <c r="E18" s="31">
        <f t="shared" si="1"/>
        <v>336.39160774976597</v>
      </c>
      <c r="F18" s="31">
        <f t="shared" si="2"/>
        <v>33370.425004200872</v>
      </c>
    </row>
    <row r="19" spans="2:6" x14ac:dyDescent="0.2">
      <c r="B19" s="30">
        <v>9</v>
      </c>
      <c r="C19" s="31">
        <f t="shared" si="3"/>
        <v>33370.425004200872</v>
      </c>
      <c r="D19" s="31">
        <f t="shared" si="0"/>
        <v>222.46950002800583</v>
      </c>
      <c r="E19" s="31">
        <f t="shared" si="1"/>
        <v>338.63421846809769</v>
      </c>
      <c r="F19" s="31">
        <f t="shared" si="2"/>
        <v>33031.790785732774</v>
      </c>
    </row>
    <row r="20" spans="2:6" x14ac:dyDescent="0.2">
      <c r="B20" s="30">
        <v>10</v>
      </c>
      <c r="C20" s="31">
        <f t="shared" si="3"/>
        <v>33031.790785732774</v>
      </c>
      <c r="D20" s="31">
        <f t="shared" si="0"/>
        <v>220.21193857155183</v>
      </c>
      <c r="E20" s="31">
        <f t="shared" si="1"/>
        <v>340.89177992455166</v>
      </c>
      <c r="F20" s="31">
        <f t="shared" si="2"/>
        <v>32690.899005808224</v>
      </c>
    </row>
    <row r="21" spans="2:6" x14ac:dyDescent="0.2">
      <c r="B21" s="30">
        <v>11</v>
      </c>
      <c r="C21" s="31">
        <f t="shared" si="3"/>
        <v>32690.899005808224</v>
      </c>
      <c r="D21" s="31">
        <f t="shared" si="0"/>
        <v>217.93932670538817</v>
      </c>
      <c r="E21" s="31">
        <f t="shared" si="1"/>
        <v>343.16439179071534</v>
      </c>
      <c r="F21" s="31">
        <f t="shared" si="2"/>
        <v>32347.734614017507</v>
      </c>
    </row>
    <row r="22" spans="2:6" x14ac:dyDescent="0.2">
      <c r="B22" s="30">
        <v>12</v>
      </c>
      <c r="C22" s="31">
        <f t="shared" si="3"/>
        <v>32347.734614017507</v>
      </c>
      <c r="D22" s="31">
        <f t="shared" si="0"/>
        <v>215.65156409345005</v>
      </c>
      <c r="E22" s="31">
        <f t="shared" si="1"/>
        <v>345.45215440265349</v>
      </c>
      <c r="F22" s="31">
        <f t="shared" si="2"/>
        <v>32002.282459614853</v>
      </c>
    </row>
    <row r="23" spans="2:6" x14ac:dyDescent="0.2">
      <c r="B23" s="30">
        <v>13</v>
      </c>
      <c r="C23" s="31">
        <f t="shared" si="3"/>
        <v>32002.282459614853</v>
      </c>
      <c r="D23" s="31">
        <f t="shared" si="0"/>
        <v>213.34854973076571</v>
      </c>
      <c r="E23" s="31">
        <f t="shared" si="1"/>
        <v>347.75516876533777</v>
      </c>
      <c r="F23" s="31">
        <f t="shared" si="2"/>
        <v>31654.527290849514</v>
      </c>
    </row>
    <row r="24" spans="2:6" x14ac:dyDescent="0.2">
      <c r="B24" s="30">
        <v>14</v>
      </c>
      <c r="C24" s="31">
        <f t="shared" si="3"/>
        <v>31654.527290849514</v>
      </c>
      <c r="D24" s="31">
        <f t="shared" si="0"/>
        <v>211.03018193899678</v>
      </c>
      <c r="E24" s="31">
        <f t="shared" si="1"/>
        <v>350.07353655710676</v>
      </c>
      <c r="F24" s="31">
        <f t="shared" si="2"/>
        <v>31304.453754292408</v>
      </c>
    </row>
    <row r="25" spans="2:6" x14ac:dyDescent="0.2">
      <c r="B25" s="30">
        <v>15</v>
      </c>
      <c r="C25" s="31">
        <f t="shared" si="3"/>
        <v>31304.453754292408</v>
      </c>
      <c r="D25" s="31">
        <f t="shared" si="0"/>
        <v>208.69635836194939</v>
      </c>
      <c r="E25" s="31">
        <f t="shared" si="1"/>
        <v>352.40736013415415</v>
      </c>
      <c r="F25" s="31">
        <f t="shared" si="2"/>
        <v>30952.046394158253</v>
      </c>
    </row>
    <row r="26" spans="2:6" x14ac:dyDescent="0.2">
      <c r="B26" s="30">
        <v>16</v>
      </c>
      <c r="C26" s="31">
        <f t="shared" si="3"/>
        <v>30952.046394158253</v>
      </c>
      <c r="D26" s="31">
        <f t="shared" si="0"/>
        <v>206.34697596105502</v>
      </c>
      <c r="E26" s="31">
        <f t="shared" si="1"/>
        <v>354.75674253504849</v>
      </c>
      <c r="F26" s="31">
        <f t="shared" si="2"/>
        <v>30597.289651623203</v>
      </c>
    </row>
    <row r="27" spans="2:6" x14ac:dyDescent="0.2">
      <c r="B27" s="30">
        <v>17</v>
      </c>
      <c r="C27" s="31">
        <f t="shared" si="3"/>
        <v>30597.289651623203</v>
      </c>
      <c r="D27" s="31">
        <f t="shared" si="0"/>
        <v>203.98193101082137</v>
      </c>
      <c r="E27" s="31">
        <f t="shared" si="1"/>
        <v>357.12178748528214</v>
      </c>
      <c r="F27" s="31">
        <f t="shared" si="2"/>
        <v>30240.167864137922</v>
      </c>
    </row>
    <row r="28" spans="2:6" x14ac:dyDescent="0.2">
      <c r="B28" s="30">
        <v>18</v>
      </c>
      <c r="C28" s="31">
        <f t="shared" si="3"/>
        <v>30240.167864137922</v>
      </c>
      <c r="D28" s="31">
        <f t="shared" si="0"/>
        <v>201.60111909425282</v>
      </c>
      <c r="E28" s="31">
        <f t="shared" si="1"/>
        <v>359.50259940185072</v>
      </c>
      <c r="F28" s="31">
        <f t="shared" si="2"/>
        <v>29880.665264736072</v>
      </c>
    </row>
    <row r="29" spans="2:6" x14ac:dyDescent="0.2">
      <c r="B29" s="30">
        <v>19</v>
      </c>
      <c r="C29" s="31">
        <f t="shared" si="3"/>
        <v>29880.665264736072</v>
      </c>
      <c r="D29" s="31">
        <f t="shared" si="0"/>
        <v>199.20443509824048</v>
      </c>
      <c r="E29" s="31">
        <f t="shared" si="1"/>
        <v>361.89928339786303</v>
      </c>
      <c r="F29" s="31">
        <f t="shared" si="2"/>
        <v>29518.765981338209</v>
      </c>
    </row>
    <row r="30" spans="2:6" x14ac:dyDescent="0.2">
      <c r="B30" s="30">
        <v>20</v>
      </c>
      <c r="C30" s="31">
        <f t="shared" si="3"/>
        <v>29518.765981338209</v>
      </c>
      <c r="D30" s="31">
        <f t="shared" si="0"/>
        <v>196.7917732089214</v>
      </c>
      <c r="E30" s="31">
        <f t="shared" si="1"/>
        <v>364.31194528718208</v>
      </c>
      <c r="F30" s="31">
        <f t="shared" si="2"/>
        <v>29154.454036051025</v>
      </c>
    </row>
    <row r="31" spans="2:6" x14ac:dyDescent="0.2">
      <c r="B31" s="30">
        <v>21</v>
      </c>
      <c r="C31" s="31">
        <f t="shared" si="3"/>
        <v>29154.454036051025</v>
      </c>
      <c r="D31" s="31">
        <f t="shared" si="0"/>
        <v>194.36302690700686</v>
      </c>
      <c r="E31" s="31">
        <f t="shared" si="1"/>
        <v>366.74069158909663</v>
      </c>
      <c r="F31" s="31">
        <f t="shared" si="2"/>
        <v>28787.713344461929</v>
      </c>
    </row>
    <row r="32" spans="2:6" x14ac:dyDescent="0.2">
      <c r="B32" s="30">
        <v>22</v>
      </c>
      <c r="C32" s="31">
        <f t="shared" si="3"/>
        <v>28787.713344461929</v>
      </c>
      <c r="D32" s="31">
        <f t="shared" si="0"/>
        <v>191.91808896307953</v>
      </c>
      <c r="E32" s="31">
        <f t="shared" si="1"/>
        <v>369.18562953302398</v>
      </c>
      <c r="F32" s="31">
        <f t="shared" si="2"/>
        <v>28418.527714928903</v>
      </c>
    </row>
    <row r="33" spans="2:6" x14ac:dyDescent="0.2">
      <c r="B33" s="30">
        <v>23</v>
      </c>
      <c r="C33" s="31">
        <f t="shared" si="3"/>
        <v>28418.527714928903</v>
      </c>
      <c r="D33" s="31">
        <f t="shared" si="0"/>
        <v>189.45685143285937</v>
      </c>
      <c r="E33" s="31">
        <f t="shared" si="1"/>
        <v>371.64686706324414</v>
      </c>
      <c r="F33" s="31">
        <f t="shared" si="2"/>
        <v>28046.880847865657</v>
      </c>
    </row>
    <row r="34" spans="2:6" x14ac:dyDescent="0.2">
      <c r="B34" s="30">
        <v>24</v>
      </c>
      <c r="C34" s="31">
        <f t="shared" si="3"/>
        <v>28046.880847865657</v>
      </c>
      <c r="D34" s="31">
        <f t="shared" si="0"/>
        <v>186.97920565243774</v>
      </c>
      <c r="E34" s="31">
        <f t="shared" si="1"/>
        <v>374.1245128436658</v>
      </c>
      <c r="F34" s="31">
        <f t="shared" si="2"/>
        <v>27672.756335021993</v>
      </c>
    </row>
    <row r="35" spans="2:6" x14ac:dyDescent="0.2">
      <c r="B35" s="30">
        <v>25</v>
      </c>
      <c r="C35" s="31">
        <f t="shared" si="3"/>
        <v>27672.756335021993</v>
      </c>
      <c r="D35" s="31">
        <f t="shared" si="0"/>
        <v>184.48504223347996</v>
      </c>
      <c r="E35" s="31">
        <f t="shared" si="1"/>
        <v>376.61867626262358</v>
      </c>
      <c r="F35" s="31">
        <f t="shared" si="2"/>
        <v>27296.13765875937</v>
      </c>
    </row>
    <row r="36" spans="2:6" x14ac:dyDescent="0.2">
      <c r="B36" s="30">
        <v>26</v>
      </c>
      <c r="C36" s="31">
        <f t="shared" si="3"/>
        <v>27296.13765875937</v>
      </c>
      <c r="D36" s="31">
        <f t="shared" si="0"/>
        <v>181.97425105839582</v>
      </c>
      <c r="E36" s="31">
        <f t="shared" si="1"/>
        <v>379.12946743770772</v>
      </c>
      <c r="F36" s="31">
        <f t="shared" si="2"/>
        <v>26917.008191321664</v>
      </c>
    </row>
    <row r="37" spans="2:6" x14ac:dyDescent="0.2">
      <c r="B37" s="30">
        <v>27</v>
      </c>
      <c r="C37" s="31">
        <f t="shared" si="3"/>
        <v>26917.008191321664</v>
      </c>
      <c r="D37" s="31">
        <f t="shared" si="0"/>
        <v>179.44672127547776</v>
      </c>
      <c r="E37" s="31">
        <f t="shared" si="1"/>
        <v>381.65699722062573</v>
      </c>
      <c r="F37" s="31">
        <f t="shared" si="2"/>
        <v>26535.351194101037</v>
      </c>
    </row>
    <row r="38" spans="2:6" x14ac:dyDescent="0.2">
      <c r="B38" s="30">
        <v>28</v>
      </c>
      <c r="C38" s="31">
        <f t="shared" si="3"/>
        <v>26535.351194101037</v>
      </c>
      <c r="D38" s="31">
        <f t="shared" si="0"/>
        <v>176.90234129400693</v>
      </c>
      <c r="E38" s="31">
        <f t="shared" si="1"/>
        <v>384.20137720209658</v>
      </c>
      <c r="F38" s="31">
        <f t="shared" si="2"/>
        <v>26151.149816898938</v>
      </c>
    </row>
    <row r="39" spans="2:6" x14ac:dyDescent="0.2">
      <c r="B39" s="30">
        <v>29</v>
      </c>
      <c r="C39" s="31">
        <f t="shared" si="3"/>
        <v>26151.149816898938</v>
      </c>
      <c r="D39" s="31">
        <f t="shared" si="0"/>
        <v>174.34099877932627</v>
      </c>
      <c r="E39" s="31">
        <f t="shared" si="1"/>
        <v>386.76271971677727</v>
      </c>
      <c r="F39" s="31">
        <f t="shared" si="2"/>
        <v>25764.38709718216</v>
      </c>
    </row>
    <row r="40" spans="2:6" x14ac:dyDescent="0.2">
      <c r="B40" s="30">
        <v>30</v>
      </c>
      <c r="C40" s="31">
        <f t="shared" si="3"/>
        <v>25764.38709718216</v>
      </c>
      <c r="D40" s="31">
        <f t="shared" si="0"/>
        <v>171.76258064788107</v>
      </c>
      <c r="E40" s="31">
        <f t="shared" si="1"/>
        <v>389.34113784822244</v>
      </c>
      <c r="F40" s="31">
        <f t="shared" si="2"/>
        <v>25375.045959333936</v>
      </c>
    </row>
    <row r="41" spans="2:6" x14ac:dyDescent="0.2">
      <c r="B41" s="30">
        <v>31</v>
      </c>
      <c r="C41" s="31">
        <f t="shared" si="3"/>
        <v>25375.045959333936</v>
      </c>
      <c r="D41" s="31">
        <f t="shared" si="0"/>
        <v>169.16697306222625</v>
      </c>
      <c r="E41" s="31">
        <f t="shared" si="1"/>
        <v>391.93674543387726</v>
      </c>
      <c r="F41" s="31">
        <f t="shared" si="2"/>
        <v>24983.109213900058</v>
      </c>
    </row>
    <row r="42" spans="2:6" x14ac:dyDescent="0.2">
      <c r="B42" s="30">
        <v>32</v>
      </c>
      <c r="C42" s="31">
        <f t="shared" si="3"/>
        <v>24983.109213900058</v>
      </c>
      <c r="D42" s="31">
        <f t="shared" si="0"/>
        <v>166.5540614260004</v>
      </c>
      <c r="E42" s="31">
        <f t="shared" si="1"/>
        <v>394.54965707010308</v>
      </c>
      <c r="F42" s="31">
        <f t="shared" si="2"/>
        <v>24588.559556829954</v>
      </c>
    </row>
    <row r="43" spans="2:6" x14ac:dyDescent="0.2">
      <c r="B43" s="30">
        <v>33</v>
      </c>
      <c r="C43" s="31">
        <f t="shared" si="3"/>
        <v>24588.559556829954</v>
      </c>
      <c r="D43" s="31">
        <f t="shared" ref="D43:D74" si="4">C43*$C$6</f>
        <v>163.92373037886637</v>
      </c>
      <c r="E43" s="31">
        <f t="shared" ref="E43:E74" si="5">$C$8-D43</f>
        <v>397.17998811723714</v>
      </c>
      <c r="F43" s="31">
        <f t="shared" ref="F43:F74" si="6">C43-E43</f>
        <v>24191.379568712717</v>
      </c>
    </row>
    <row r="44" spans="2:6" x14ac:dyDescent="0.2">
      <c r="B44" s="30">
        <v>34</v>
      </c>
      <c r="C44" s="31">
        <f t="shared" ref="C44:C75" si="7">F43</f>
        <v>24191.379568712717</v>
      </c>
      <c r="D44" s="31">
        <f t="shared" si="4"/>
        <v>161.27586379141812</v>
      </c>
      <c r="E44" s="31">
        <f t="shared" si="5"/>
        <v>399.82785470468536</v>
      </c>
      <c r="F44" s="31">
        <f t="shared" si="6"/>
        <v>23791.55171400803</v>
      </c>
    </row>
    <row r="45" spans="2:6" x14ac:dyDescent="0.2">
      <c r="B45" s="30">
        <v>35</v>
      </c>
      <c r="C45" s="31">
        <f t="shared" si="7"/>
        <v>23791.55171400803</v>
      </c>
      <c r="D45" s="31">
        <f t="shared" si="4"/>
        <v>158.61034476005355</v>
      </c>
      <c r="E45" s="31">
        <f t="shared" si="5"/>
        <v>402.49337373604999</v>
      </c>
      <c r="F45" s="31">
        <f t="shared" si="6"/>
        <v>23389.058340271979</v>
      </c>
    </row>
    <row r="46" spans="2:6" x14ac:dyDescent="0.2">
      <c r="B46" s="30">
        <v>36</v>
      </c>
      <c r="C46" s="31">
        <f t="shared" si="7"/>
        <v>23389.058340271979</v>
      </c>
      <c r="D46" s="31">
        <f t="shared" si="4"/>
        <v>155.92705560181321</v>
      </c>
      <c r="E46" s="31">
        <f t="shared" si="5"/>
        <v>405.1766628942903</v>
      </c>
      <c r="F46" s="31">
        <f t="shared" si="6"/>
        <v>22983.881677377689</v>
      </c>
    </row>
    <row r="47" spans="2:6" x14ac:dyDescent="0.2">
      <c r="B47" s="30">
        <v>37</v>
      </c>
      <c r="C47" s="31">
        <f t="shared" si="7"/>
        <v>22983.881677377689</v>
      </c>
      <c r="D47" s="31">
        <f t="shared" si="4"/>
        <v>153.2258778491846</v>
      </c>
      <c r="E47" s="31">
        <f t="shared" si="5"/>
        <v>407.87784064691891</v>
      </c>
      <c r="F47" s="31">
        <f t="shared" si="6"/>
        <v>22576.003836730772</v>
      </c>
    </row>
    <row r="48" spans="2:6" x14ac:dyDescent="0.2">
      <c r="B48" s="30">
        <v>38</v>
      </c>
      <c r="C48" s="31">
        <f t="shared" si="7"/>
        <v>22576.003836730772</v>
      </c>
      <c r="D48" s="31">
        <f t="shared" si="4"/>
        <v>150.50669224487183</v>
      </c>
      <c r="E48" s="31">
        <f t="shared" si="5"/>
        <v>410.59702625123168</v>
      </c>
      <c r="F48" s="31">
        <f t="shared" si="6"/>
        <v>22165.406810479541</v>
      </c>
    </row>
    <row r="49" spans="2:6" x14ac:dyDescent="0.2">
      <c r="B49" s="30">
        <v>39</v>
      </c>
      <c r="C49" s="31">
        <f t="shared" si="7"/>
        <v>22165.406810479541</v>
      </c>
      <c r="D49" s="31">
        <f t="shared" si="4"/>
        <v>147.76937873653029</v>
      </c>
      <c r="E49" s="31">
        <f t="shared" si="5"/>
        <v>413.33433975957325</v>
      </c>
      <c r="F49" s="31">
        <f t="shared" si="6"/>
        <v>21752.072470719966</v>
      </c>
    </row>
    <row r="50" spans="2:6" x14ac:dyDescent="0.2">
      <c r="B50" s="30">
        <v>40</v>
      </c>
      <c r="C50" s="31">
        <f t="shared" si="7"/>
        <v>21752.072470719966</v>
      </c>
      <c r="D50" s="31">
        <f t="shared" si="4"/>
        <v>145.01381647146644</v>
      </c>
      <c r="E50" s="31">
        <f t="shared" si="5"/>
        <v>416.08990202463707</v>
      </c>
      <c r="F50" s="31">
        <f t="shared" si="6"/>
        <v>21335.98256869533</v>
      </c>
    </row>
    <row r="51" spans="2:6" x14ac:dyDescent="0.2">
      <c r="B51" s="30">
        <v>41</v>
      </c>
      <c r="C51" s="31">
        <f t="shared" si="7"/>
        <v>21335.98256869533</v>
      </c>
      <c r="D51" s="31">
        <f t="shared" si="4"/>
        <v>142.23988379130222</v>
      </c>
      <c r="E51" s="31">
        <f t="shared" si="5"/>
        <v>418.86383470480132</v>
      </c>
      <c r="F51" s="31">
        <f t="shared" si="6"/>
        <v>20917.11873399053</v>
      </c>
    </row>
    <row r="52" spans="2:6" x14ac:dyDescent="0.2">
      <c r="B52" s="30">
        <v>42</v>
      </c>
      <c r="C52" s="31">
        <f t="shared" si="7"/>
        <v>20917.11873399053</v>
      </c>
      <c r="D52" s="31">
        <f t="shared" si="4"/>
        <v>139.44745822660354</v>
      </c>
      <c r="E52" s="31">
        <f t="shared" si="5"/>
        <v>421.65626026949997</v>
      </c>
      <c r="F52" s="31">
        <f t="shared" si="6"/>
        <v>20495.462473721029</v>
      </c>
    </row>
    <row r="53" spans="2:6" x14ac:dyDescent="0.2">
      <c r="B53" s="30">
        <v>43</v>
      </c>
      <c r="C53" s="31">
        <f t="shared" si="7"/>
        <v>20495.462473721029</v>
      </c>
      <c r="D53" s="31">
        <f t="shared" si="4"/>
        <v>136.63641649147354</v>
      </c>
      <c r="E53" s="31">
        <f t="shared" si="5"/>
        <v>424.46730200462997</v>
      </c>
      <c r="F53" s="31">
        <f t="shared" si="6"/>
        <v>20070.9951717164</v>
      </c>
    </row>
    <row r="54" spans="2:6" x14ac:dyDescent="0.2">
      <c r="B54" s="30">
        <v>44</v>
      </c>
      <c r="C54" s="31">
        <f t="shared" si="7"/>
        <v>20070.9951717164</v>
      </c>
      <c r="D54" s="31">
        <f t="shared" si="4"/>
        <v>133.80663447810934</v>
      </c>
      <c r="E54" s="31">
        <f t="shared" si="5"/>
        <v>427.29708401799417</v>
      </c>
      <c r="F54" s="31">
        <f t="shared" si="6"/>
        <v>19643.698087698405</v>
      </c>
    </row>
    <row r="55" spans="2:6" x14ac:dyDescent="0.2">
      <c r="B55" s="30">
        <v>45</v>
      </c>
      <c r="C55" s="31">
        <f t="shared" si="7"/>
        <v>19643.698087698405</v>
      </c>
      <c r="D55" s="31">
        <f t="shared" si="4"/>
        <v>130.95798725132272</v>
      </c>
      <c r="E55" s="31">
        <f t="shared" si="5"/>
        <v>430.14573124478079</v>
      </c>
      <c r="F55" s="31">
        <f t="shared" si="6"/>
        <v>19213.552356453623</v>
      </c>
    </row>
    <row r="56" spans="2:6" x14ac:dyDescent="0.2">
      <c r="B56" s="30">
        <v>46</v>
      </c>
      <c r="C56" s="31">
        <f t="shared" si="7"/>
        <v>19213.552356453623</v>
      </c>
      <c r="D56" s="31">
        <f t="shared" si="4"/>
        <v>128.09034904302416</v>
      </c>
      <c r="E56" s="31">
        <f t="shared" si="5"/>
        <v>433.01336945307935</v>
      </c>
      <c r="F56" s="31">
        <f t="shared" si="6"/>
        <v>18780.538987000546</v>
      </c>
    </row>
    <row r="57" spans="2:6" x14ac:dyDescent="0.2">
      <c r="B57" s="30">
        <v>47</v>
      </c>
      <c r="C57" s="31">
        <f t="shared" si="7"/>
        <v>18780.538987000546</v>
      </c>
      <c r="D57" s="31">
        <f t="shared" si="4"/>
        <v>125.20359324667031</v>
      </c>
      <c r="E57" s="31">
        <f t="shared" si="5"/>
        <v>435.90012524943319</v>
      </c>
      <c r="F57" s="31">
        <f t="shared" si="6"/>
        <v>18344.638861751111</v>
      </c>
    </row>
    <row r="58" spans="2:6" x14ac:dyDescent="0.2">
      <c r="B58" s="30">
        <v>48</v>
      </c>
      <c r="C58" s="31">
        <f t="shared" si="7"/>
        <v>18344.638861751111</v>
      </c>
      <c r="D58" s="31">
        <f t="shared" si="4"/>
        <v>122.29759241167409</v>
      </c>
      <c r="E58" s="31">
        <f t="shared" si="5"/>
        <v>438.80612608442942</v>
      </c>
      <c r="F58" s="31">
        <f t="shared" si="6"/>
        <v>17905.832735666681</v>
      </c>
    </row>
    <row r="59" spans="2:6" x14ac:dyDescent="0.2">
      <c r="B59" s="30">
        <v>49</v>
      </c>
      <c r="C59" s="31">
        <f t="shared" si="7"/>
        <v>17905.832735666681</v>
      </c>
      <c r="D59" s="31">
        <f t="shared" si="4"/>
        <v>119.37221823777789</v>
      </c>
      <c r="E59" s="31">
        <f t="shared" si="5"/>
        <v>441.73150025832564</v>
      </c>
      <c r="F59" s="31">
        <f t="shared" si="6"/>
        <v>17464.101235408354</v>
      </c>
    </row>
    <row r="60" spans="2:6" x14ac:dyDescent="0.2">
      <c r="B60" s="30">
        <v>50</v>
      </c>
      <c r="C60" s="31">
        <f t="shared" si="7"/>
        <v>17464.101235408354</v>
      </c>
      <c r="D60" s="31">
        <f t="shared" si="4"/>
        <v>116.42734156938903</v>
      </c>
      <c r="E60" s="31">
        <f t="shared" si="5"/>
        <v>444.67637692671451</v>
      </c>
      <c r="F60" s="31">
        <f t="shared" si="6"/>
        <v>17019.424858481638</v>
      </c>
    </row>
    <row r="61" spans="2:6" x14ac:dyDescent="0.2">
      <c r="B61" s="30">
        <v>51</v>
      </c>
      <c r="C61" s="31">
        <f t="shared" si="7"/>
        <v>17019.424858481638</v>
      </c>
      <c r="D61" s="31">
        <f t="shared" si="4"/>
        <v>113.46283238987759</v>
      </c>
      <c r="E61" s="31">
        <f t="shared" si="5"/>
        <v>447.64088610622593</v>
      </c>
      <c r="F61" s="31">
        <f t="shared" si="6"/>
        <v>16571.783972375411</v>
      </c>
    </row>
    <row r="62" spans="2:6" x14ac:dyDescent="0.2">
      <c r="B62" s="30">
        <v>52</v>
      </c>
      <c r="C62" s="31">
        <f t="shared" si="7"/>
        <v>16571.783972375411</v>
      </c>
      <c r="D62" s="31">
        <f t="shared" si="4"/>
        <v>110.47855981583608</v>
      </c>
      <c r="E62" s="31">
        <f t="shared" si="5"/>
        <v>450.62515868026742</v>
      </c>
      <c r="F62" s="31">
        <f t="shared" si="6"/>
        <v>16121.158813695143</v>
      </c>
    </row>
    <row r="63" spans="2:6" x14ac:dyDescent="0.2">
      <c r="B63" s="30">
        <v>53</v>
      </c>
      <c r="C63" s="31">
        <f t="shared" si="7"/>
        <v>16121.158813695143</v>
      </c>
      <c r="D63" s="31">
        <f t="shared" si="4"/>
        <v>107.47439209130096</v>
      </c>
      <c r="E63" s="31">
        <f t="shared" si="5"/>
        <v>453.62932640480255</v>
      </c>
      <c r="F63" s="31">
        <f t="shared" si="6"/>
        <v>15667.529487290341</v>
      </c>
    </row>
    <row r="64" spans="2:6" x14ac:dyDescent="0.2">
      <c r="B64" s="30">
        <v>54</v>
      </c>
      <c r="C64" s="31">
        <f t="shared" si="7"/>
        <v>15667.529487290341</v>
      </c>
      <c r="D64" s="31">
        <f t="shared" si="4"/>
        <v>104.45019658193561</v>
      </c>
      <c r="E64" s="31">
        <f t="shared" si="5"/>
        <v>456.65352191416787</v>
      </c>
      <c r="F64" s="31">
        <f t="shared" si="6"/>
        <v>15210.875965376174</v>
      </c>
    </row>
    <row r="65" spans="2:6" x14ac:dyDescent="0.2">
      <c r="B65" s="30">
        <v>55</v>
      </c>
      <c r="C65" s="31">
        <f t="shared" si="7"/>
        <v>15210.875965376174</v>
      </c>
      <c r="D65" s="31">
        <f t="shared" si="4"/>
        <v>101.40583976917449</v>
      </c>
      <c r="E65" s="31">
        <f t="shared" si="5"/>
        <v>459.69787872692905</v>
      </c>
      <c r="F65" s="31">
        <f t="shared" si="6"/>
        <v>14751.178086649245</v>
      </c>
    </row>
    <row r="66" spans="2:6" x14ac:dyDescent="0.2">
      <c r="B66" s="30">
        <v>56</v>
      </c>
      <c r="C66" s="31">
        <f t="shared" si="7"/>
        <v>14751.178086649245</v>
      </c>
      <c r="D66" s="31">
        <f t="shared" si="4"/>
        <v>98.341187244328296</v>
      </c>
      <c r="E66" s="31">
        <f t="shared" si="5"/>
        <v>462.76253125177521</v>
      </c>
      <c r="F66" s="31">
        <f t="shared" si="6"/>
        <v>14288.415555397469</v>
      </c>
    </row>
    <row r="67" spans="2:6" x14ac:dyDescent="0.2">
      <c r="B67" s="30">
        <v>57</v>
      </c>
      <c r="C67" s="31">
        <f t="shared" si="7"/>
        <v>14288.415555397469</v>
      </c>
      <c r="D67" s="31">
        <f t="shared" si="4"/>
        <v>95.256103702649796</v>
      </c>
      <c r="E67" s="31">
        <f t="shared" si="5"/>
        <v>465.84761479345372</v>
      </c>
      <c r="F67" s="31">
        <f t="shared" si="6"/>
        <v>13822.567940604014</v>
      </c>
    </row>
    <row r="68" spans="2:6" x14ac:dyDescent="0.2">
      <c r="B68" s="30">
        <v>58</v>
      </c>
      <c r="C68" s="31">
        <f t="shared" si="7"/>
        <v>13822.567940604014</v>
      </c>
      <c r="D68" s="31">
        <f t="shared" si="4"/>
        <v>92.1504529373601</v>
      </c>
      <c r="E68" s="31">
        <f t="shared" si="5"/>
        <v>468.9532655587434</v>
      </c>
      <c r="F68" s="31">
        <f t="shared" si="6"/>
        <v>13353.614675045272</v>
      </c>
    </row>
    <row r="69" spans="2:6" x14ac:dyDescent="0.2">
      <c r="B69" s="30">
        <v>59</v>
      </c>
      <c r="C69" s="31">
        <f t="shared" si="7"/>
        <v>13353.614675045272</v>
      </c>
      <c r="D69" s="31">
        <f t="shared" si="4"/>
        <v>89.024097833635153</v>
      </c>
      <c r="E69" s="31">
        <f t="shared" si="5"/>
        <v>472.07962066246836</v>
      </c>
      <c r="F69" s="31">
        <f t="shared" si="6"/>
        <v>12881.535054382803</v>
      </c>
    </row>
    <row r="70" spans="2:6" x14ac:dyDescent="0.2">
      <c r="B70" s="30">
        <v>60</v>
      </c>
      <c r="C70" s="31">
        <f t="shared" si="7"/>
        <v>12881.535054382803</v>
      </c>
      <c r="D70" s="31">
        <f t="shared" si="4"/>
        <v>85.876900362552021</v>
      </c>
      <c r="E70" s="31">
        <f t="shared" si="5"/>
        <v>475.22681813355149</v>
      </c>
      <c r="F70" s="31">
        <f t="shared" si="6"/>
        <v>12406.308236249251</v>
      </c>
    </row>
    <row r="71" spans="2:6" x14ac:dyDescent="0.2">
      <c r="B71" s="30">
        <v>61</v>
      </c>
      <c r="C71" s="31">
        <f t="shared" si="7"/>
        <v>12406.308236249251</v>
      </c>
      <c r="D71" s="31">
        <f t="shared" si="4"/>
        <v>82.70872157499501</v>
      </c>
      <c r="E71" s="31">
        <f t="shared" si="5"/>
        <v>478.39499692110849</v>
      </c>
      <c r="F71" s="31">
        <f t="shared" si="6"/>
        <v>11927.913239328143</v>
      </c>
    </row>
    <row r="72" spans="2:6" x14ac:dyDescent="0.2">
      <c r="B72" s="30">
        <v>62</v>
      </c>
      <c r="C72" s="31">
        <f t="shared" si="7"/>
        <v>11927.913239328143</v>
      </c>
      <c r="D72" s="31">
        <f t="shared" si="4"/>
        <v>79.519421595520967</v>
      </c>
      <c r="E72" s="31">
        <f t="shared" si="5"/>
        <v>481.58429690058256</v>
      </c>
      <c r="F72" s="31">
        <f t="shared" si="6"/>
        <v>11446.328942427561</v>
      </c>
    </row>
    <row r="73" spans="2:6" x14ac:dyDescent="0.2">
      <c r="B73" s="30">
        <v>63</v>
      </c>
      <c r="C73" s="31">
        <f t="shared" si="7"/>
        <v>11446.328942427561</v>
      </c>
      <c r="D73" s="31">
        <f t="shared" si="4"/>
        <v>76.308859616183739</v>
      </c>
      <c r="E73" s="31">
        <f t="shared" si="5"/>
        <v>484.79485887991979</v>
      </c>
      <c r="F73" s="31">
        <f t="shared" si="6"/>
        <v>10961.534083547642</v>
      </c>
    </row>
    <row r="74" spans="2:6" x14ac:dyDescent="0.2">
      <c r="B74" s="30">
        <v>64</v>
      </c>
      <c r="C74" s="31">
        <f t="shared" si="7"/>
        <v>10961.534083547642</v>
      </c>
      <c r="D74" s="31">
        <f t="shared" si="4"/>
        <v>73.076893890317621</v>
      </c>
      <c r="E74" s="31">
        <f t="shared" si="5"/>
        <v>488.02682460578592</v>
      </c>
      <c r="F74" s="31">
        <f t="shared" si="6"/>
        <v>10473.507258941856</v>
      </c>
    </row>
    <row r="75" spans="2:6" x14ac:dyDescent="0.2">
      <c r="B75" s="30">
        <v>65</v>
      </c>
      <c r="C75" s="31">
        <f t="shared" si="7"/>
        <v>10473.507258941856</v>
      </c>
      <c r="D75" s="31">
        <f t="shared" ref="D75:D106" si="8">C75*$C$6</f>
        <v>69.823381726279038</v>
      </c>
      <c r="E75" s="31">
        <f t="shared" ref="E75:E106" si="9">$C$8-D75</f>
        <v>491.28033676982449</v>
      </c>
      <c r="F75" s="31">
        <f t="shared" ref="F75:F106" si="10">C75-E75</f>
        <v>9982.2269221720308</v>
      </c>
    </row>
    <row r="76" spans="2:6" x14ac:dyDescent="0.2">
      <c r="B76" s="30">
        <v>66</v>
      </c>
      <c r="C76" s="31">
        <f t="shared" ref="C76:C94" si="11">F75</f>
        <v>9982.2269221720308</v>
      </c>
      <c r="D76" s="31">
        <f t="shared" si="8"/>
        <v>66.548179481146875</v>
      </c>
      <c r="E76" s="31">
        <f t="shared" si="9"/>
        <v>494.55553901495665</v>
      </c>
      <c r="F76" s="31">
        <f t="shared" si="10"/>
        <v>9487.6713831570742</v>
      </c>
    </row>
    <row r="77" spans="2:6" x14ac:dyDescent="0.2">
      <c r="B77" s="30">
        <v>67</v>
      </c>
      <c r="C77" s="31">
        <f t="shared" si="11"/>
        <v>9487.6713831570742</v>
      </c>
      <c r="D77" s="31">
        <f t="shared" si="8"/>
        <v>63.2511425543805</v>
      </c>
      <c r="E77" s="31">
        <f t="shared" si="9"/>
        <v>497.85257594172299</v>
      </c>
      <c r="F77" s="31">
        <f t="shared" si="10"/>
        <v>8989.8188072153516</v>
      </c>
    </row>
    <row r="78" spans="2:6" x14ac:dyDescent="0.2">
      <c r="B78" s="30">
        <v>68</v>
      </c>
      <c r="C78" s="31">
        <f t="shared" si="11"/>
        <v>8989.8188072153516</v>
      </c>
      <c r="D78" s="31">
        <f t="shared" si="8"/>
        <v>59.932125381435682</v>
      </c>
      <c r="E78" s="31">
        <f t="shared" si="9"/>
        <v>501.17159311466781</v>
      </c>
      <c r="F78" s="31">
        <f t="shared" si="10"/>
        <v>8488.6472141006834</v>
      </c>
    </row>
    <row r="79" spans="2:6" x14ac:dyDescent="0.2">
      <c r="B79" s="30">
        <v>69</v>
      </c>
      <c r="C79" s="31">
        <f t="shared" si="11"/>
        <v>8488.6472141006834</v>
      </c>
      <c r="D79" s="31">
        <f t="shared" si="8"/>
        <v>56.590981427337894</v>
      </c>
      <c r="E79" s="31">
        <f t="shared" si="9"/>
        <v>504.5127370687656</v>
      </c>
      <c r="F79" s="31">
        <f t="shared" si="10"/>
        <v>7984.1344770319174</v>
      </c>
    </row>
    <row r="80" spans="2:6" x14ac:dyDescent="0.2">
      <c r="B80" s="30">
        <v>70</v>
      </c>
      <c r="C80" s="31">
        <f t="shared" si="11"/>
        <v>7984.1344770319174</v>
      </c>
      <c r="D80" s="31">
        <f t="shared" si="8"/>
        <v>53.227563180212783</v>
      </c>
      <c r="E80" s="31">
        <f t="shared" si="9"/>
        <v>507.87615531589074</v>
      </c>
      <c r="F80" s="31">
        <f t="shared" si="10"/>
        <v>7476.2583217160263</v>
      </c>
    </row>
    <row r="81" spans="2:6" x14ac:dyDescent="0.2">
      <c r="B81" s="30">
        <v>71</v>
      </c>
      <c r="C81" s="31">
        <f t="shared" si="11"/>
        <v>7476.2583217160263</v>
      </c>
      <c r="D81" s="31">
        <f t="shared" si="8"/>
        <v>49.841722144773513</v>
      </c>
      <c r="E81" s="31">
        <f t="shared" si="9"/>
        <v>511.26199635133003</v>
      </c>
      <c r="F81" s="31">
        <f t="shared" si="10"/>
        <v>6964.9963253646965</v>
      </c>
    </row>
    <row r="82" spans="2:6" x14ac:dyDescent="0.2">
      <c r="B82" s="30">
        <v>72</v>
      </c>
      <c r="C82" s="31">
        <f t="shared" si="11"/>
        <v>6964.9963253646965</v>
      </c>
      <c r="D82" s="31">
        <f t="shared" si="8"/>
        <v>46.433308835764649</v>
      </c>
      <c r="E82" s="31">
        <f t="shared" si="9"/>
        <v>514.67040966033892</v>
      </c>
      <c r="F82" s="31">
        <f t="shared" si="10"/>
        <v>6450.3259157043576</v>
      </c>
    </row>
    <row r="83" spans="2:6" x14ac:dyDescent="0.2">
      <c r="B83" s="30">
        <v>73</v>
      </c>
      <c r="C83" s="31">
        <f t="shared" si="11"/>
        <v>6450.3259157043576</v>
      </c>
      <c r="D83" s="31">
        <f t="shared" si="8"/>
        <v>43.002172771362389</v>
      </c>
      <c r="E83" s="31">
        <f t="shared" si="9"/>
        <v>518.10154572474107</v>
      </c>
      <c r="F83" s="31">
        <f t="shared" si="10"/>
        <v>5932.2243699796163</v>
      </c>
    </row>
    <row r="84" spans="2:6" x14ac:dyDescent="0.2">
      <c r="B84" s="30">
        <v>74</v>
      </c>
      <c r="C84" s="31">
        <f t="shared" si="11"/>
        <v>5932.2243699796163</v>
      </c>
      <c r="D84" s="31">
        <f t="shared" si="8"/>
        <v>39.548162466530776</v>
      </c>
      <c r="E84" s="31">
        <f t="shared" si="9"/>
        <v>521.5555560295727</v>
      </c>
      <c r="F84" s="31">
        <f t="shared" si="10"/>
        <v>5410.6688139500438</v>
      </c>
    </row>
    <row r="85" spans="2:6" x14ac:dyDescent="0.2">
      <c r="B85" s="30">
        <v>75</v>
      </c>
      <c r="C85" s="31">
        <f t="shared" si="11"/>
        <v>5410.6688139500438</v>
      </c>
      <c r="D85" s="31">
        <f t="shared" si="8"/>
        <v>36.07112542633363</v>
      </c>
      <c r="E85" s="31">
        <f t="shared" si="9"/>
        <v>525.03259306976986</v>
      </c>
      <c r="F85" s="31">
        <f t="shared" si="10"/>
        <v>4885.6362208802739</v>
      </c>
    </row>
    <row r="86" spans="2:6" x14ac:dyDescent="0.2">
      <c r="B86" s="30">
        <v>76</v>
      </c>
      <c r="C86" s="31">
        <f t="shared" si="11"/>
        <v>4885.6362208802739</v>
      </c>
      <c r="D86" s="31">
        <f t="shared" si="8"/>
        <v>32.570908139201826</v>
      </c>
      <c r="E86" s="31">
        <f t="shared" si="9"/>
        <v>528.53281035690168</v>
      </c>
      <c r="F86" s="31">
        <f t="shared" si="10"/>
        <v>4357.1034105233721</v>
      </c>
    </row>
    <row r="87" spans="2:6" x14ac:dyDescent="0.2">
      <c r="B87" s="30">
        <v>77</v>
      </c>
      <c r="C87" s="31">
        <f t="shared" si="11"/>
        <v>4357.1034105233721</v>
      </c>
      <c r="D87" s="31">
        <f t="shared" si="8"/>
        <v>29.047356070155814</v>
      </c>
      <c r="E87" s="31">
        <f t="shared" si="9"/>
        <v>532.05636242594767</v>
      </c>
      <c r="F87" s="31">
        <f t="shared" si="10"/>
        <v>3825.0470480974245</v>
      </c>
    </row>
    <row r="88" spans="2:6" x14ac:dyDescent="0.2">
      <c r="B88" s="30">
        <v>78</v>
      </c>
      <c r="C88" s="31">
        <f t="shared" si="11"/>
        <v>3825.0470480974245</v>
      </c>
      <c r="D88" s="31">
        <f t="shared" si="8"/>
        <v>25.500313653982833</v>
      </c>
      <c r="E88" s="31">
        <f t="shared" si="9"/>
        <v>535.60340484212065</v>
      </c>
      <c r="F88" s="31">
        <f t="shared" si="10"/>
        <v>3289.4436432553039</v>
      </c>
    </row>
    <row r="89" spans="2:6" x14ac:dyDescent="0.2">
      <c r="B89" s="30">
        <v>79</v>
      </c>
      <c r="C89" s="31">
        <f t="shared" si="11"/>
        <v>3289.4436432553039</v>
      </c>
      <c r="D89" s="31">
        <f t="shared" si="8"/>
        <v>21.929624288368693</v>
      </c>
      <c r="E89" s="31">
        <f t="shared" si="9"/>
        <v>539.17409420773481</v>
      </c>
      <c r="F89" s="31">
        <f t="shared" si="10"/>
        <v>2750.2695490475689</v>
      </c>
    </row>
    <row r="90" spans="2:6" x14ac:dyDescent="0.2">
      <c r="B90" s="30">
        <v>80</v>
      </c>
      <c r="C90" s="31">
        <f t="shared" si="11"/>
        <v>2750.2695490475689</v>
      </c>
      <c r="D90" s="31">
        <f t="shared" si="8"/>
        <v>18.335130326983794</v>
      </c>
      <c r="E90" s="31">
        <f t="shared" si="9"/>
        <v>542.76858816911977</v>
      </c>
      <c r="F90" s="31">
        <f t="shared" si="10"/>
        <v>2207.5009608784494</v>
      </c>
    </row>
    <row r="91" spans="2:6" x14ac:dyDescent="0.2">
      <c r="B91" s="30">
        <v>81</v>
      </c>
      <c r="C91" s="31">
        <f t="shared" si="11"/>
        <v>2207.5009608784494</v>
      </c>
      <c r="D91" s="31">
        <f t="shared" si="8"/>
        <v>14.716673072522998</v>
      </c>
      <c r="E91" s="31">
        <f t="shared" si="9"/>
        <v>546.3870454235805</v>
      </c>
      <c r="F91" s="31">
        <f t="shared" si="10"/>
        <v>1661.1139154548689</v>
      </c>
    </row>
    <row r="92" spans="2:6" x14ac:dyDescent="0.2">
      <c r="B92" s="30">
        <v>82</v>
      </c>
      <c r="C92" s="31">
        <f t="shared" si="11"/>
        <v>1661.1139154548689</v>
      </c>
      <c r="D92" s="31">
        <f t="shared" si="8"/>
        <v>11.074092769699126</v>
      </c>
      <c r="E92" s="31">
        <f t="shared" si="9"/>
        <v>550.02962572640433</v>
      </c>
      <c r="F92" s="31">
        <f t="shared" si="10"/>
        <v>1111.0842897284647</v>
      </c>
    </row>
    <row r="93" spans="2:6" x14ac:dyDescent="0.2">
      <c r="B93" s="30">
        <v>83</v>
      </c>
      <c r="C93" s="31">
        <f t="shared" si="11"/>
        <v>1111.0842897284647</v>
      </c>
      <c r="D93" s="31">
        <f t="shared" si="8"/>
        <v>7.4072285981897652</v>
      </c>
      <c r="E93" s="31">
        <f t="shared" si="9"/>
        <v>553.69648989791369</v>
      </c>
      <c r="F93" s="31">
        <f t="shared" si="10"/>
        <v>557.38779983055099</v>
      </c>
    </row>
    <row r="94" spans="2:6" x14ac:dyDescent="0.2">
      <c r="B94" s="30">
        <v>84</v>
      </c>
      <c r="C94" s="31">
        <f t="shared" si="11"/>
        <v>557.38779983055099</v>
      </c>
      <c r="D94" s="31">
        <f t="shared" si="8"/>
        <v>3.7159186655370067</v>
      </c>
      <c r="E94" s="31">
        <f t="shared" si="9"/>
        <v>557.38779983056645</v>
      </c>
      <c r="F94" s="31">
        <f t="shared" si="10"/>
        <v>-1.546140993013978E-11</v>
      </c>
    </row>
    <row r="96" spans="2:6" x14ac:dyDescent="0.2">
      <c r="B96" s="24" t="s">
        <v>167</v>
      </c>
    </row>
    <row r="97" spans="2:4" x14ac:dyDescent="0.2">
      <c r="B97" s="14" t="s">
        <v>168</v>
      </c>
      <c r="C97" s="32" t="s">
        <v>169</v>
      </c>
      <c r="D97" s="32" t="s">
        <v>170</v>
      </c>
    </row>
    <row r="98" spans="2:4" x14ac:dyDescent="0.2">
      <c r="B98" s="30">
        <v>1</v>
      </c>
      <c r="C98" s="33">
        <f>SUM(D11:D22)</f>
        <v>2735.5270815680892</v>
      </c>
      <c r="D98" s="33">
        <f>SUM(E11:E22)</f>
        <v>3997.7175403851534</v>
      </c>
    </row>
    <row r="99" spans="2:4" x14ac:dyDescent="0.2">
      <c r="B99" s="30">
        <v>2</v>
      </c>
      <c r="C99" s="33">
        <f>SUM(D23:D34)</f>
        <v>2403.7184973603867</v>
      </c>
      <c r="D99" s="33">
        <f>SUM(E23:E34)</f>
        <v>4329.5261245928559</v>
      </c>
    </row>
    <row r="100" spans="2:4" x14ac:dyDescent="0.2">
      <c r="B100" s="30">
        <v>3</v>
      </c>
      <c r="C100" s="33">
        <f>SUM(D35:D46)</f>
        <v>2044.3699643089453</v>
      </c>
      <c r="D100" s="33">
        <f>SUM(E35:E46)</f>
        <v>4688.8746576442963</v>
      </c>
    </row>
    <row r="101" spans="2:4" x14ac:dyDescent="0.2">
      <c r="B101" s="30">
        <v>4</v>
      </c>
      <c r="C101" s="33">
        <f>SUM(D47:D58)</f>
        <v>1655.195680242233</v>
      </c>
      <c r="D101" s="33">
        <f>SUM(E47:E58)</f>
        <v>5078.0489417110093</v>
      </c>
    </row>
    <row r="102" spans="2:4" x14ac:dyDescent="0.2">
      <c r="B102" s="30">
        <v>5</v>
      </c>
      <c r="C102" s="33">
        <f>SUM(D59:D70)</f>
        <v>1233.7201225358172</v>
      </c>
      <c r="D102" s="33">
        <f>SUM(E59:E70)</f>
        <v>5499.5244994174254</v>
      </c>
    </row>
    <row r="103" spans="2:4" x14ac:dyDescent="0.2">
      <c r="B103" s="30">
        <v>6</v>
      </c>
      <c r="C103" s="33">
        <f>SUM(D71:D82)</f>
        <v>777.26230140834809</v>
      </c>
      <c r="D103" s="33">
        <f>SUM(E71:E82)</f>
        <v>5955.9823205448938</v>
      </c>
    </row>
    <row r="104" spans="2:4" x14ac:dyDescent="0.2">
      <c r="B104" s="30">
        <v>7</v>
      </c>
      <c r="C104" s="33">
        <f>SUM(D83:D94)</f>
        <v>282.91870624886866</v>
      </c>
      <c r="D104" s="33">
        <f>SUM(E83:E94)</f>
        <v>6450.3259157043731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O15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34" customWidth="1"/>
    <col min="3" max="14" width="9" customWidth="1"/>
    <col min="15" max="15" width="12" customWidth="1"/>
  </cols>
  <sheetData>
    <row r="2" spans="2:15" ht="18" x14ac:dyDescent="0.2">
      <c r="B2" s="13" t="s">
        <v>171</v>
      </c>
    </row>
    <row r="3" spans="2:15" x14ac:dyDescent="0.2">
      <c r="B3" s="3" t="s">
        <v>172</v>
      </c>
    </row>
    <row r="5" spans="2:15" x14ac:dyDescent="0.2">
      <c r="B5" s="34" t="s">
        <v>173</v>
      </c>
      <c r="C5" s="35" t="s">
        <v>174</v>
      </c>
      <c r="D5" s="35" t="s">
        <v>175</v>
      </c>
      <c r="E5" s="35" t="s">
        <v>176</v>
      </c>
      <c r="F5" s="35" t="s">
        <v>177</v>
      </c>
      <c r="G5" s="35" t="s">
        <v>178</v>
      </c>
      <c r="H5" s="35" t="s">
        <v>179</v>
      </c>
      <c r="I5" s="35" t="s">
        <v>180</v>
      </c>
      <c r="J5" s="35" t="s">
        <v>181</v>
      </c>
      <c r="K5" s="35" t="s">
        <v>182</v>
      </c>
      <c r="L5" s="35" t="s">
        <v>183</v>
      </c>
      <c r="M5" s="35" t="s">
        <v>184</v>
      </c>
      <c r="N5" s="35" t="s">
        <v>185</v>
      </c>
      <c r="O5" s="35" t="s">
        <v>186</v>
      </c>
    </row>
    <row r="6" spans="2:15" x14ac:dyDescent="0.2">
      <c r="B6" s="36" t="s">
        <v>187</v>
      </c>
      <c r="C6" s="37" t="s">
        <v>188</v>
      </c>
      <c r="D6" s="37" t="s">
        <v>188</v>
      </c>
      <c r="E6" s="37" t="s">
        <v>188</v>
      </c>
      <c r="F6" s="37" t="s">
        <v>189</v>
      </c>
      <c r="G6" s="37" t="s">
        <v>189</v>
      </c>
      <c r="H6" s="37" t="s">
        <v>190</v>
      </c>
      <c r="I6" s="37" t="s">
        <v>190</v>
      </c>
      <c r="J6" s="37" t="s">
        <v>190</v>
      </c>
      <c r="K6" s="37" t="s">
        <v>190</v>
      </c>
      <c r="L6" s="37" t="s">
        <v>189</v>
      </c>
      <c r="M6" s="37" t="s">
        <v>188</v>
      </c>
      <c r="N6" s="37" t="s">
        <v>188</v>
      </c>
      <c r="O6" s="38"/>
    </row>
    <row r="7" spans="2:15" x14ac:dyDescent="0.2">
      <c r="B7" s="15" t="s">
        <v>191</v>
      </c>
      <c r="C7" s="39">
        <v>31</v>
      </c>
      <c r="D7" s="39">
        <v>28</v>
      </c>
      <c r="E7" s="39">
        <v>31</v>
      </c>
      <c r="F7" s="39">
        <v>30</v>
      </c>
      <c r="G7" s="39">
        <v>31</v>
      </c>
      <c r="H7" s="39">
        <v>30</v>
      </c>
      <c r="I7" s="39">
        <v>31</v>
      </c>
      <c r="J7" s="39">
        <v>31</v>
      </c>
      <c r="K7" s="39">
        <v>30</v>
      </c>
      <c r="L7" s="39">
        <v>31</v>
      </c>
      <c r="M7" s="39">
        <v>30</v>
      </c>
      <c r="N7" s="39">
        <v>31</v>
      </c>
      <c r="O7" s="40">
        <f>SUM(C7:N7)</f>
        <v>365</v>
      </c>
    </row>
    <row r="8" spans="2:15" x14ac:dyDescent="0.2">
      <c r="B8" s="15" t="s">
        <v>192</v>
      </c>
      <c r="C8" s="39">
        <f>C7-Pressupostos_Assumpt!C33</f>
        <v>29</v>
      </c>
      <c r="D8" s="39">
        <f>D7-Pressupostos_Assumpt!C33</f>
        <v>26</v>
      </c>
      <c r="E8" s="39">
        <f>E7-Pressupostos_Assumpt!C33</f>
        <v>29</v>
      </c>
      <c r="F8" s="39">
        <f>F7-Pressupostos_Assumpt!C33</f>
        <v>28</v>
      </c>
      <c r="G8" s="39">
        <f>G7-Pressupostos_Assumpt!C33</f>
        <v>29</v>
      </c>
      <c r="H8" s="39">
        <f>H7-Pressupostos_Assumpt!C33</f>
        <v>28</v>
      </c>
      <c r="I8" s="39">
        <f>I7-Pressupostos_Assumpt!C33</f>
        <v>29</v>
      </c>
      <c r="J8" s="39">
        <f>J7-Pressupostos_Assumpt!C33</f>
        <v>29</v>
      </c>
      <c r="K8" s="39">
        <f>K7-Pressupostos_Assumpt!C33</f>
        <v>28</v>
      </c>
      <c r="L8" s="39">
        <f>L7-Pressupostos_Assumpt!C33</f>
        <v>29</v>
      </c>
      <c r="M8" s="39">
        <f>M7-Pressupostos_Assumpt!C33</f>
        <v>28</v>
      </c>
      <c r="N8" s="39">
        <f>N7-Pressupostos_Assumpt!C33</f>
        <v>29</v>
      </c>
      <c r="O8" s="40">
        <f>SUM(C8:N8)</f>
        <v>341</v>
      </c>
    </row>
    <row r="9" spans="2:15" x14ac:dyDescent="0.2">
      <c r="B9" s="15" t="s">
        <v>193</v>
      </c>
      <c r="C9" s="41">
        <f>IF(C6="A",Pressupostos_Assumpt!C26,IF(C6="M",Pressupostos_Assumpt!C25,Pressupostos_Assumpt!C24))</f>
        <v>0.22</v>
      </c>
      <c r="D9" s="41">
        <f>IF(D6="A",Pressupostos_Assumpt!C26,IF(D6="M",Pressupostos_Assumpt!C25,Pressupostos_Assumpt!C24))</f>
        <v>0.22</v>
      </c>
      <c r="E9" s="41">
        <f>IF(E6="A",Pressupostos_Assumpt!C26,IF(E6="M",Pressupostos_Assumpt!C25,Pressupostos_Assumpt!C24))</f>
        <v>0.22</v>
      </c>
      <c r="F9" s="41">
        <f>IF(F6="A",Pressupostos_Assumpt!C26,IF(F6="M",Pressupostos_Assumpt!C25,Pressupostos_Assumpt!C24))</f>
        <v>0.5</v>
      </c>
      <c r="G9" s="41">
        <f>IF(G6="A",Pressupostos_Assumpt!C26,IF(G6="M",Pressupostos_Assumpt!C25,Pressupostos_Assumpt!C24))</f>
        <v>0.5</v>
      </c>
      <c r="H9" s="41">
        <f>IF(H6="A",Pressupostos_Assumpt!C26,IF(H6="M",Pressupostos_Assumpt!C25,Pressupostos_Assumpt!C24))</f>
        <v>0.8</v>
      </c>
      <c r="I9" s="41">
        <f>IF(I6="A",Pressupostos_Assumpt!C26,IF(I6="M",Pressupostos_Assumpt!C25,Pressupostos_Assumpt!C24))</f>
        <v>0.8</v>
      </c>
      <c r="J9" s="41">
        <f>IF(J6="A",Pressupostos_Assumpt!C26,IF(J6="M",Pressupostos_Assumpt!C25,Pressupostos_Assumpt!C24))</f>
        <v>0.8</v>
      </c>
      <c r="K9" s="41">
        <f>IF(K6="A",Pressupostos_Assumpt!C26,IF(K6="M",Pressupostos_Assumpt!C25,Pressupostos_Assumpt!C24))</f>
        <v>0.8</v>
      </c>
      <c r="L9" s="41">
        <f>IF(L6="A",Pressupostos_Assumpt!C26,IF(L6="M",Pressupostos_Assumpt!C25,Pressupostos_Assumpt!C24))</f>
        <v>0.5</v>
      </c>
      <c r="M9" s="41">
        <f>IF(M6="A",Pressupostos_Assumpt!C26,IF(M6="M",Pressupostos_Assumpt!C25,Pressupostos_Assumpt!C24))</f>
        <v>0.22</v>
      </c>
      <c r="N9" s="41">
        <f>IF(N6="A",Pressupostos_Assumpt!C26,IF(N6="M",Pressupostos_Assumpt!C25,Pressupostos_Assumpt!C24))</f>
        <v>0.22</v>
      </c>
      <c r="O9" s="42">
        <f>AVERAGE(C9:N9)</f>
        <v>0.48333333333333323</v>
      </c>
    </row>
    <row r="10" spans="2:15" x14ac:dyDescent="0.2">
      <c r="B10" s="15" t="s">
        <v>194</v>
      </c>
      <c r="C10" s="43">
        <f>IF(C6="A",Pressupostos_Assumpt!C20,IF(C6="M",Pressupostos_Assumpt!C19,Pressupostos_Assumpt!C18))</f>
        <v>65</v>
      </c>
      <c r="D10" s="43">
        <f>IF(D6="A",Pressupostos_Assumpt!C20,IF(D6="M",Pressupostos_Assumpt!C19,Pressupostos_Assumpt!C18))</f>
        <v>65</v>
      </c>
      <c r="E10" s="43">
        <f>IF(E6="A",Pressupostos_Assumpt!C20,IF(E6="M",Pressupostos_Assumpt!C19,Pressupostos_Assumpt!C18))</f>
        <v>65</v>
      </c>
      <c r="F10" s="43">
        <f>IF(F6="A",Pressupostos_Assumpt!C20,IF(F6="M",Pressupostos_Assumpt!C19,Pressupostos_Assumpt!C18))</f>
        <v>105</v>
      </c>
      <c r="G10" s="43">
        <f>IF(G6="A",Pressupostos_Assumpt!C20,IF(G6="M",Pressupostos_Assumpt!C19,Pressupostos_Assumpt!C18))</f>
        <v>105</v>
      </c>
      <c r="H10" s="43">
        <f>IF(H6="A",Pressupostos_Assumpt!C20,IF(H6="M",Pressupostos_Assumpt!C19,Pressupostos_Assumpt!C18))</f>
        <v>160</v>
      </c>
      <c r="I10" s="43">
        <f>IF(I6="A",Pressupostos_Assumpt!C20,IF(I6="M",Pressupostos_Assumpt!C19,Pressupostos_Assumpt!C18))</f>
        <v>160</v>
      </c>
      <c r="J10" s="43">
        <f>IF(J6="A",Pressupostos_Assumpt!C20,IF(J6="M",Pressupostos_Assumpt!C19,Pressupostos_Assumpt!C18))</f>
        <v>160</v>
      </c>
      <c r="K10" s="43">
        <f>IF(K6="A",Pressupostos_Assumpt!C20,IF(K6="M",Pressupostos_Assumpt!C19,Pressupostos_Assumpt!C18))</f>
        <v>160</v>
      </c>
      <c r="L10" s="43">
        <f>IF(L6="A",Pressupostos_Assumpt!C20,IF(L6="M",Pressupostos_Assumpt!C19,Pressupostos_Assumpt!C18))</f>
        <v>105</v>
      </c>
      <c r="M10" s="43">
        <f>IF(M6="A",Pressupostos_Assumpt!C20,IF(M6="M",Pressupostos_Assumpt!C19,Pressupostos_Assumpt!C18))</f>
        <v>65</v>
      </c>
      <c r="N10" s="43">
        <f>IF(N6="A",Pressupostos_Assumpt!C20,IF(N6="M",Pressupostos_Assumpt!C19,Pressupostos_Assumpt!C18))</f>
        <v>65</v>
      </c>
      <c r="O10" s="44">
        <f>AVERAGE(C10:N10)</f>
        <v>106.66666666666667</v>
      </c>
    </row>
    <row r="11" spans="2:15" x14ac:dyDescent="0.2">
      <c r="B11" s="15" t="s">
        <v>195</v>
      </c>
      <c r="C11" s="45">
        <f t="shared" ref="C11:N11" si="0">C8*C9</f>
        <v>6.38</v>
      </c>
      <c r="D11" s="45">
        <f t="shared" si="0"/>
        <v>5.72</v>
      </c>
      <c r="E11" s="45">
        <f t="shared" si="0"/>
        <v>6.38</v>
      </c>
      <c r="F11" s="45">
        <f t="shared" si="0"/>
        <v>14</v>
      </c>
      <c r="G11" s="45">
        <f t="shared" si="0"/>
        <v>14.5</v>
      </c>
      <c r="H11" s="45">
        <f t="shared" si="0"/>
        <v>22.400000000000002</v>
      </c>
      <c r="I11" s="45">
        <f t="shared" si="0"/>
        <v>23.200000000000003</v>
      </c>
      <c r="J11" s="45">
        <f t="shared" si="0"/>
        <v>23.200000000000003</v>
      </c>
      <c r="K11" s="45">
        <f t="shared" si="0"/>
        <v>22.400000000000002</v>
      </c>
      <c r="L11" s="45">
        <f t="shared" si="0"/>
        <v>14.5</v>
      </c>
      <c r="M11" s="45">
        <f t="shared" si="0"/>
        <v>6.16</v>
      </c>
      <c r="N11" s="45">
        <f t="shared" si="0"/>
        <v>6.38</v>
      </c>
      <c r="O11" s="46">
        <f>SUM(C11:N11)</f>
        <v>165.22</v>
      </c>
    </row>
    <row r="12" spans="2:15" x14ac:dyDescent="0.2">
      <c r="B12" s="15" t="s">
        <v>196</v>
      </c>
      <c r="C12" s="43">
        <f t="shared" ref="C12:N12" si="1">C11*C10</f>
        <v>414.7</v>
      </c>
      <c r="D12" s="43">
        <f t="shared" si="1"/>
        <v>371.8</v>
      </c>
      <c r="E12" s="43">
        <f t="shared" si="1"/>
        <v>414.7</v>
      </c>
      <c r="F12" s="43">
        <f t="shared" si="1"/>
        <v>1470</v>
      </c>
      <c r="G12" s="43">
        <f t="shared" si="1"/>
        <v>1522.5</v>
      </c>
      <c r="H12" s="43">
        <f t="shared" si="1"/>
        <v>3584.0000000000005</v>
      </c>
      <c r="I12" s="43">
        <f t="shared" si="1"/>
        <v>3712.0000000000005</v>
      </c>
      <c r="J12" s="43">
        <f t="shared" si="1"/>
        <v>3712.0000000000005</v>
      </c>
      <c r="K12" s="43">
        <f t="shared" si="1"/>
        <v>3584.0000000000005</v>
      </c>
      <c r="L12" s="43">
        <f t="shared" si="1"/>
        <v>1522.5</v>
      </c>
      <c r="M12" s="43">
        <f t="shared" si="1"/>
        <v>400.40000000000003</v>
      </c>
      <c r="N12" s="43">
        <f t="shared" si="1"/>
        <v>414.7</v>
      </c>
      <c r="O12" s="44">
        <f>SUM(C12:N12)</f>
        <v>21123.300000000003</v>
      </c>
    </row>
    <row r="13" spans="2:15" x14ac:dyDescent="0.2">
      <c r="B13" s="15" t="s">
        <v>197</v>
      </c>
      <c r="C13" s="43">
        <f>C12*Pressupostos_Assumpt!C29</f>
        <v>49.763999999999996</v>
      </c>
      <c r="D13" s="43">
        <f>D12*Pressupostos_Assumpt!C29</f>
        <v>44.616</v>
      </c>
      <c r="E13" s="43">
        <f>E12*Pressupostos_Assumpt!C29</f>
        <v>49.763999999999996</v>
      </c>
      <c r="F13" s="43">
        <f>F12*Pressupostos_Assumpt!C29</f>
        <v>176.4</v>
      </c>
      <c r="G13" s="43">
        <f>G12*Pressupostos_Assumpt!C29</f>
        <v>182.7</v>
      </c>
      <c r="H13" s="43">
        <f>H12*Pressupostos_Assumpt!C29</f>
        <v>430.08000000000004</v>
      </c>
      <c r="I13" s="43">
        <f>I12*Pressupostos_Assumpt!C29</f>
        <v>445.44000000000005</v>
      </c>
      <c r="J13" s="43">
        <f>J12*Pressupostos_Assumpt!C29</f>
        <v>445.44000000000005</v>
      </c>
      <c r="K13" s="43">
        <f>K12*Pressupostos_Assumpt!C29</f>
        <v>430.08000000000004</v>
      </c>
      <c r="L13" s="43">
        <f>L12*Pressupostos_Assumpt!C29</f>
        <v>182.7</v>
      </c>
      <c r="M13" s="43">
        <f>M12*Pressupostos_Assumpt!C29</f>
        <v>48.048000000000002</v>
      </c>
      <c r="N13" s="43">
        <f>N12*Pressupostos_Assumpt!C29</f>
        <v>49.763999999999996</v>
      </c>
      <c r="O13" s="44">
        <f>SUM(C13:N13)</f>
        <v>2534.7960000000003</v>
      </c>
    </row>
    <row r="14" spans="2:15" x14ac:dyDescent="0.2">
      <c r="B14" s="47" t="s">
        <v>198</v>
      </c>
      <c r="C14" s="48">
        <f t="shared" ref="C14:N14" si="2">C12+C13</f>
        <v>464.464</v>
      </c>
      <c r="D14" s="48">
        <f t="shared" si="2"/>
        <v>416.416</v>
      </c>
      <c r="E14" s="48">
        <f t="shared" si="2"/>
        <v>464.464</v>
      </c>
      <c r="F14" s="48">
        <f t="shared" si="2"/>
        <v>1646.4</v>
      </c>
      <c r="G14" s="48">
        <f t="shared" si="2"/>
        <v>1705.2</v>
      </c>
      <c r="H14" s="48">
        <f t="shared" si="2"/>
        <v>4014.0800000000004</v>
      </c>
      <c r="I14" s="48">
        <f t="shared" si="2"/>
        <v>4157.4400000000005</v>
      </c>
      <c r="J14" s="48">
        <f t="shared" si="2"/>
        <v>4157.4400000000005</v>
      </c>
      <c r="K14" s="48">
        <f t="shared" si="2"/>
        <v>4014.0800000000004</v>
      </c>
      <c r="L14" s="48">
        <f t="shared" si="2"/>
        <v>1705.2</v>
      </c>
      <c r="M14" s="48">
        <f t="shared" si="2"/>
        <v>448.44800000000004</v>
      </c>
      <c r="N14" s="48">
        <f t="shared" si="2"/>
        <v>464.464</v>
      </c>
      <c r="O14" s="48">
        <f>SUM(C14:N14)</f>
        <v>23658.096000000005</v>
      </c>
    </row>
    <row r="15" spans="2:15" x14ac:dyDescent="0.2">
      <c r="B15" s="15" t="s">
        <v>199</v>
      </c>
      <c r="C15" s="45">
        <f>C11/Pressupostos_Assumpt!C31</f>
        <v>1.0633333333333332</v>
      </c>
      <c r="D15" s="45">
        <f>D11/Pressupostos_Assumpt!C31</f>
        <v>0.95333333333333325</v>
      </c>
      <c r="E15" s="45">
        <f>E11/Pressupostos_Assumpt!C31</f>
        <v>1.0633333333333332</v>
      </c>
      <c r="F15" s="45">
        <f>F11/Pressupostos_Assumpt!C31</f>
        <v>2.3333333333333335</v>
      </c>
      <c r="G15" s="45">
        <f>G11/Pressupostos_Assumpt!C31</f>
        <v>2.4166666666666665</v>
      </c>
      <c r="H15" s="45">
        <f>H11/Pressupostos_Assumpt!C31</f>
        <v>3.7333333333333338</v>
      </c>
      <c r="I15" s="45">
        <f>I11/Pressupostos_Assumpt!C31</f>
        <v>3.8666666666666671</v>
      </c>
      <c r="J15" s="45">
        <f>J11/Pressupostos_Assumpt!C31</f>
        <v>3.8666666666666671</v>
      </c>
      <c r="K15" s="45">
        <f>K11/Pressupostos_Assumpt!C31</f>
        <v>3.7333333333333338</v>
      </c>
      <c r="L15" s="45">
        <f>L11/Pressupostos_Assumpt!C31</f>
        <v>2.4166666666666665</v>
      </c>
      <c r="M15" s="45">
        <f>M11/Pressupostos_Assumpt!C31</f>
        <v>1.0266666666666666</v>
      </c>
      <c r="N15" s="45">
        <f>N11/Pressupostos_Assumpt!C31</f>
        <v>1.0633333333333332</v>
      </c>
      <c r="O15" s="46">
        <f>SUM(C15:N15)</f>
        <v>27.536666666666669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25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34" customWidth="1"/>
    <col min="3" max="14" width="9" customWidth="1"/>
    <col min="15" max="15" width="12" customWidth="1"/>
  </cols>
  <sheetData>
    <row r="2" spans="2:15" ht="18" x14ac:dyDescent="0.2">
      <c r="B2" s="13" t="s">
        <v>200</v>
      </c>
    </row>
    <row r="3" spans="2:15" x14ac:dyDescent="0.2">
      <c r="B3" s="3" t="s">
        <v>201</v>
      </c>
    </row>
    <row r="5" spans="2:15" x14ac:dyDescent="0.2">
      <c r="B5" s="34" t="s">
        <v>173</v>
      </c>
      <c r="C5" s="35" t="s">
        <v>174</v>
      </c>
      <c r="D5" s="35" t="s">
        <v>175</v>
      </c>
      <c r="E5" s="35" t="s">
        <v>176</v>
      </c>
      <c r="F5" s="35" t="s">
        <v>177</v>
      </c>
      <c r="G5" s="35" t="s">
        <v>178</v>
      </c>
      <c r="H5" s="35" t="s">
        <v>179</v>
      </c>
      <c r="I5" s="35" t="s">
        <v>180</v>
      </c>
      <c r="J5" s="35" t="s">
        <v>181</v>
      </c>
      <c r="K5" s="35" t="s">
        <v>182</v>
      </c>
      <c r="L5" s="35" t="s">
        <v>183</v>
      </c>
      <c r="M5" s="35" t="s">
        <v>184</v>
      </c>
      <c r="N5" s="35" t="s">
        <v>185</v>
      </c>
      <c r="O5" s="35" t="s">
        <v>186</v>
      </c>
    </row>
    <row r="6" spans="2:15" x14ac:dyDescent="0.2">
      <c r="B6" s="14" t="s">
        <v>202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</row>
    <row r="7" spans="2:15" ht="28" x14ac:dyDescent="0.2">
      <c r="B7" s="15" t="s">
        <v>91</v>
      </c>
      <c r="C7" s="43">
        <f>Receita_Revenue!C14*Pressupostos_Assumpt!C30</f>
        <v>69.669600000000003</v>
      </c>
      <c r="D7" s="43">
        <f>Receita_Revenue!D14*Pressupostos_Assumpt!C30</f>
        <v>62.462399999999995</v>
      </c>
      <c r="E7" s="43">
        <f>Receita_Revenue!E14*Pressupostos_Assumpt!C30</f>
        <v>69.669600000000003</v>
      </c>
      <c r="F7" s="43">
        <f>Receita_Revenue!F14*Pressupostos_Assumpt!C30</f>
        <v>246.96</v>
      </c>
      <c r="G7" s="43">
        <f>Receita_Revenue!G14*Pressupostos_Assumpt!C30</f>
        <v>255.78</v>
      </c>
      <c r="H7" s="43">
        <f>Receita_Revenue!H14*Pressupostos_Assumpt!C30</f>
        <v>602.11200000000008</v>
      </c>
      <c r="I7" s="43">
        <f>Receita_Revenue!I14*Pressupostos_Assumpt!C30</f>
        <v>623.6160000000001</v>
      </c>
      <c r="J7" s="43">
        <f>Receita_Revenue!J14*Pressupostos_Assumpt!C30</f>
        <v>623.6160000000001</v>
      </c>
      <c r="K7" s="43">
        <f>Receita_Revenue!K14*Pressupostos_Assumpt!C30</f>
        <v>602.11200000000008</v>
      </c>
      <c r="L7" s="43">
        <f>Receita_Revenue!L14*Pressupostos_Assumpt!C30</f>
        <v>255.78</v>
      </c>
      <c r="M7" s="43">
        <f>Receita_Revenue!M14*Pressupostos_Assumpt!C30</f>
        <v>67.267200000000003</v>
      </c>
      <c r="N7" s="43">
        <f>Receita_Revenue!N14*Pressupostos_Assumpt!C30</f>
        <v>69.669600000000003</v>
      </c>
      <c r="O7" s="44">
        <f>SUM(C7:N7)</f>
        <v>3548.7144000000008</v>
      </c>
    </row>
    <row r="8" spans="2:15" ht="28" x14ac:dyDescent="0.2">
      <c r="B8" s="15" t="s">
        <v>203</v>
      </c>
      <c r="C8" s="43">
        <f>Receita_Revenue!C15*Pressupostos_Assumpt!C32</f>
        <v>42.533333333333331</v>
      </c>
      <c r="D8" s="43">
        <f>Receita_Revenue!D15*Pressupostos_Assumpt!C32</f>
        <v>38.133333333333333</v>
      </c>
      <c r="E8" s="43">
        <f>Receita_Revenue!E15*Pressupostos_Assumpt!C32</f>
        <v>42.533333333333331</v>
      </c>
      <c r="F8" s="43">
        <f>Receita_Revenue!F15*Pressupostos_Assumpt!C32</f>
        <v>93.333333333333343</v>
      </c>
      <c r="G8" s="43">
        <f>Receita_Revenue!G15*Pressupostos_Assumpt!C32</f>
        <v>96.666666666666657</v>
      </c>
      <c r="H8" s="43">
        <f>Receita_Revenue!H15*Pressupostos_Assumpt!C32</f>
        <v>149.33333333333334</v>
      </c>
      <c r="I8" s="43">
        <f>Receita_Revenue!I15*Pressupostos_Assumpt!C32</f>
        <v>154.66666666666669</v>
      </c>
      <c r="J8" s="43">
        <f>Receita_Revenue!J15*Pressupostos_Assumpt!C32</f>
        <v>154.66666666666669</v>
      </c>
      <c r="K8" s="43">
        <f>Receita_Revenue!K15*Pressupostos_Assumpt!C32</f>
        <v>149.33333333333334</v>
      </c>
      <c r="L8" s="43">
        <f>Receita_Revenue!L15*Pressupostos_Assumpt!C32</f>
        <v>96.666666666666657</v>
      </c>
      <c r="M8" s="43">
        <f>Receita_Revenue!M15*Pressupostos_Assumpt!C32</f>
        <v>41.066666666666663</v>
      </c>
      <c r="N8" s="43">
        <f>Receita_Revenue!N15*Pressupostos_Assumpt!C32</f>
        <v>42.533333333333331</v>
      </c>
      <c r="O8" s="44">
        <f>SUM(C8:N8)</f>
        <v>1101.4666666666667</v>
      </c>
    </row>
    <row r="9" spans="2:15" x14ac:dyDescent="0.2">
      <c r="B9" s="47" t="s">
        <v>204</v>
      </c>
      <c r="C9" s="44">
        <f t="shared" ref="C9:N9" si="0">C7+C8</f>
        <v>112.20293333333333</v>
      </c>
      <c r="D9" s="44">
        <f t="shared" si="0"/>
        <v>100.59573333333333</v>
      </c>
      <c r="E9" s="44">
        <f t="shared" si="0"/>
        <v>112.20293333333333</v>
      </c>
      <c r="F9" s="44">
        <f t="shared" si="0"/>
        <v>340.29333333333335</v>
      </c>
      <c r="G9" s="44">
        <f t="shared" si="0"/>
        <v>352.44666666666666</v>
      </c>
      <c r="H9" s="44">
        <f t="shared" si="0"/>
        <v>751.44533333333345</v>
      </c>
      <c r="I9" s="44">
        <f t="shared" si="0"/>
        <v>778.28266666666673</v>
      </c>
      <c r="J9" s="44">
        <f t="shared" si="0"/>
        <v>778.28266666666673</v>
      </c>
      <c r="K9" s="44">
        <f t="shared" si="0"/>
        <v>751.44533333333345</v>
      </c>
      <c r="L9" s="44">
        <f t="shared" si="0"/>
        <v>352.44666666666666</v>
      </c>
      <c r="M9" s="44">
        <f t="shared" si="0"/>
        <v>108.33386666666667</v>
      </c>
      <c r="N9" s="44">
        <f t="shared" si="0"/>
        <v>112.20293333333333</v>
      </c>
      <c r="O9" s="44">
        <f>SUM(C9:N9)</f>
        <v>4650.181066666667</v>
      </c>
    </row>
    <row r="10" spans="2:15" x14ac:dyDescent="0.2">
      <c r="B10" s="14" t="s">
        <v>205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</row>
    <row r="11" spans="2:15" x14ac:dyDescent="0.2">
      <c r="B11" s="15" t="s">
        <v>206</v>
      </c>
      <c r="C11" s="43">
        <f>Pressupostos_Assumpt!C36*Pressupostos_Assumpt!C50</f>
        <v>150</v>
      </c>
      <c r="D11" s="43">
        <f>Pressupostos_Assumpt!C36*Pressupostos_Assumpt!C50</f>
        <v>150</v>
      </c>
      <c r="E11" s="43">
        <f>Pressupostos_Assumpt!C36*Pressupostos_Assumpt!C50</f>
        <v>150</v>
      </c>
      <c r="F11" s="43">
        <f>Pressupostos_Assumpt!C36*Pressupostos_Assumpt!C50</f>
        <v>150</v>
      </c>
      <c r="G11" s="43">
        <f>Pressupostos_Assumpt!C36*Pressupostos_Assumpt!C50</f>
        <v>150</v>
      </c>
      <c r="H11" s="43">
        <f>Pressupostos_Assumpt!C36*Pressupostos_Assumpt!C50</f>
        <v>150</v>
      </c>
      <c r="I11" s="43">
        <f>Pressupostos_Assumpt!C36*Pressupostos_Assumpt!C50</f>
        <v>150</v>
      </c>
      <c r="J11" s="43">
        <f>Pressupostos_Assumpt!C36*Pressupostos_Assumpt!C50</f>
        <v>150</v>
      </c>
      <c r="K11" s="43">
        <f>Pressupostos_Assumpt!C36*Pressupostos_Assumpt!C50</f>
        <v>150</v>
      </c>
      <c r="L11" s="43">
        <f>Pressupostos_Assumpt!C36*Pressupostos_Assumpt!C50</f>
        <v>150</v>
      </c>
      <c r="M11" s="43">
        <f>Pressupostos_Assumpt!C36*Pressupostos_Assumpt!C50</f>
        <v>150</v>
      </c>
      <c r="N11" s="43">
        <f>Pressupostos_Assumpt!C36*Pressupostos_Assumpt!C50</f>
        <v>150</v>
      </c>
      <c r="O11" s="44">
        <f t="shared" ref="O11:O17" si="1">SUM(C11:N11)</f>
        <v>1800</v>
      </c>
    </row>
    <row r="12" spans="2:15" x14ac:dyDescent="0.2">
      <c r="B12" s="15" t="s">
        <v>207</v>
      </c>
      <c r="C12" s="43">
        <f>Pressupostos_Assumpt!C37*Pressupostos_Assumpt!C50</f>
        <v>70</v>
      </c>
      <c r="D12" s="43">
        <f>Pressupostos_Assumpt!C37*Pressupostos_Assumpt!C50</f>
        <v>70</v>
      </c>
      <c r="E12" s="43">
        <f>Pressupostos_Assumpt!C37*Pressupostos_Assumpt!C50</f>
        <v>70</v>
      </c>
      <c r="F12" s="43">
        <f>Pressupostos_Assumpt!C37*Pressupostos_Assumpt!C50</f>
        <v>70</v>
      </c>
      <c r="G12" s="43">
        <f>Pressupostos_Assumpt!C37*Pressupostos_Assumpt!C50</f>
        <v>70</v>
      </c>
      <c r="H12" s="43">
        <f>Pressupostos_Assumpt!C37*Pressupostos_Assumpt!C50</f>
        <v>70</v>
      </c>
      <c r="I12" s="43">
        <f>Pressupostos_Assumpt!C37*Pressupostos_Assumpt!C50</f>
        <v>70</v>
      </c>
      <c r="J12" s="43">
        <f>Pressupostos_Assumpt!C37*Pressupostos_Assumpt!C50</f>
        <v>70</v>
      </c>
      <c r="K12" s="43">
        <f>Pressupostos_Assumpt!C37*Pressupostos_Assumpt!C50</f>
        <v>70</v>
      </c>
      <c r="L12" s="43">
        <f>Pressupostos_Assumpt!C37*Pressupostos_Assumpt!C50</f>
        <v>70</v>
      </c>
      <c r="M12" s="43">
        <f>Pressupostos_Assumpt!C37*Pressupostos_Assumpt!C50</f>
        <v>70</v>
      </c>
      <c r="N12" s="43">
        <f>Pressupostos_Assumpt!C37*Pressupostos_Assumpt!C50</f>
        <v>70</v>
      </c>
      <c r="O12" s="44">
        <f t="shared" si="1"/>
        <v>840</v>
      </c>
    </row>
    <row r="13" spans="2:15" x14ac:dyDescent="0.2">
      <c r="B13" s="15" t="s">
        <v>107</v>
      </c>
      <c r="C13" s="43">
        <f>Pressupostos_Assumpt!C38*Pressupostos_Assumpt!C50</f>
        <v>50</v>
      </c>
      <c r="D13" s="43">
        <f>Pressupostos_Assumpt!C38*Pressupostos_Assumpt!C50</f>
        <v>50</v>
      </c>
      <c r="E13" s="43">
        <f>Pressupostos_Assumpt!C38*Pressupostos_Assumpt!C50</f>
        <v>50</v>
      </c>
      <c r="F13" s="43">
        <f>Pressupostos_Assumpt!C38*Pressupostos_Assumpt!C50</f>
        <v>50</v>
      </c>
      <c r="G13" s="43">
        <f>Pressupostos_Assumpt!C38*Pressupostos_Assumpt!C50</f>
        <v>50</v>
      </c>
      <c r="H13" s="43">
        <f>Pressupostos_Assumpt!C38*Pressupostos_Assumpt!C50</f>
        <v>50</v>
      </c>
      <c r="I13" s="43">
        <f>Pressupostos_Assumpt!C38*Pressupostos_Assumpt!C50</f>
        <v>50</v>
      </c>
      <c r="J13" s="43">
        <f>Pressupostos_Assumpt!C38*Pressupostos_Assumpt!C50</f>
        <v>50</v>
      </c>
      <c r="K13" s="43">
        <f>Pressupostos_Assumpt!C38*Pressupostos_Assumpt!C50</f>
        <v>50</v>
      </c>
      <c r="L13" s="43">
        <f>Pressupostos_Assumpt!C38*Pressupostos_Assumpt!C50</f>
        <v>50</v>
      </c>
      <c r="M13" s="43">
        <f>Pressupostos_Assumpt!C38*Pressupostos_Assumpt!C50</f>
        <v>50</v>
      </c>
      <c r="N13" s="43">
        <f>Pressupostos_Assumpt!C38*Pressupostos_Assumpt!C50</f>
        <v>50</v>
      </c>
      <c r="O13" s="44">
        <f t="shared" si="1"/>
        <v>600</v>
      </c>
    </row>
    <row r="14" spans="2:15" x14ac:dyDescent="0.2">
      <c r="B14" s="15" t="s">
        <v>208</v>
      </c>
      <c r="C14" s="43">
        <f>Pressupostos_Assumpt!C39/12*Pressupostos_Assumpt!C50</f>
        <v>20.833333333333332</v>
      </c>
      <c r="D14" s="43">
        <f>Pressupostos_Assumpt!C39/12*Pressupostos_Assumpt!C50</f>
        <v>20.833333333333332</v>
      </c>
      <c r="E14" s="43">
        <f>Pressupostos_Assumpt!C39/12*Pressupostos_Assumpt!C50</f>
        <v>20.833333333333332</v>
      </c>
      <c r="F14" s="43">
        <f>Pressupostos_Assumpt!C39/12*Pressupostos_Assumpt!C50</f>
        <v>20.833333333333332</v>
      </c>
      <c r="G14" s="43">
        <f>Pressupostos_Assumpt!C39/12*Pressupostos_Assumpt!C50</f>
        <v>20.833333333333332</v>
      </c>
      <c r="H14" s="43">
        <f>Pressupostos_Assumpt!C39/12*Pressupostos_Assumpt!C50</f>
        <v>20.833333333333332</v>
      </c>
      <c r="I14" s="43">
        <f>Pressupostos_Assumpt!C39/12*Pressupostos_Assumpt!C50</f>
        <v>20.833333333333332</v>
      </c>
      <c r="J14" s="43">
        <f>Pressupostos_Assumpt!C39/12*Pressupostos_Assumpt!C50</f>
        <v>20.833333333333332</v>
      </c>
      <c r="K14" s="43">
        <f>Pressupostos_Assumpt!C39/12*Pressupostos_Assumpt!C50</f>
        <v>20.833333333333332</v>
      </c>
      <c r="L14" s="43">
        <f>Pressupostos_Assumpt!C39/12*Pressupostos_Assumpt!C50</f>
        <v>20.833333333333332</v>
      </c>
      <c r="M14" s="43">
        <f>Pressupostos_Assumpt!C39/12*Pressupostos_Assumpt!C50</f>
        <v>20.833333333333332</v>
      </c>
      <c r="N14" s="43">
        <f>Pressupostos_Assumpt!C39/12*Pressupostos_Assumpt!C50</f>
        <v>20.833333333333332</v>
      </c>
      <c r="O14" s="44">
        <f t="shared" si="1"/>
        <v>250.00000000000003</v>
      </c>
    </row>
    <row r="15" spans="2:15" x14ac:dyDescent="0.2">
      <c r="B15" s="15" t="s">
        <v>209</v>
      </c>
      <c r="C15" s="43">
        <f>Pressupostos_Assumpt!C40/12*Pressupostos_Assumpt!C50</f>
        <v>3.3333333333333335</v>
      </c>
      <c r="D15" s="43">
        <f>Pressupostos_Assumpt!C40/12*Pressupostos_Assumpt!C50</f>
        <v>3.3333333333333335</v>
      </c>
      <c r="E15" s="43">
        <f>Pressupostos_Assumpt!C40/12*Pressupostos_Assumpt!C50</f>
        <v>3.3333333333333335</v>
      </c>
      <c r="F15" s="43">
        <f>Pressupostos_Assumpt!C40/12*Pressupostos_Assumpt!C50</f>
        <v>3.3333333333333335</v>
      </c>
      <c r="G15" s="43">
        <f>Pressupostos_Assumpt!C40/12*Pressupostos_Assumpt!C50</f>
        <v>3.3333333333333335</v>
      </c>
      <c r="H15" s="43">
        <f>Pressupostos_Assumpt!C40/12*Pressupostos_Assumpt!C50</f>
        <v>3.3333333333333335</v>
      </c>
      <c r="I15" s="43">
        <f>Pressupostos_Assumpt!C40/12*Pressupostos_Assumpt!C50</f>
        <v>3.3333333333333335</v>
      </c>
      <c r="J15" s="43">
        <f>Pressupostos_Assumpt!C40/12*Pressupostos_Assumpt!C50</f>
        <v>3.3333333333333335</v>
      </c>
      <c r="K15" s="43">
        <f>Pressupostos_Assumpt!C40/12*Pressupostos_Assumpt!C50</f>
        <v>3.3333333333333335</v>
      </c>
      <c r="L15" s="43">
        <f>Pressupostos_Assumpt!C40/12*Pressupostos_Assumpt!C50</f>
        <v>3.3333333333333335</v>
      </c>
      <c r="M15" s="43">
        <f>Pressupostos_Assumpt!C40/12*Pressupostos_Assumpt!C50</f>
        <v>3.3333333333333335</v>
      </c>
      <c r="N15" s="43">
        <f>Pressupostos_Assumpt!C40/12*Pressupostos_Assumpt!C50</f>
        <v>3.3333333333333335</v>
      </c>
      <c r="O15" s="44">
        <f t="shared" si="1"/>
        <v>40</v>
      </c>
    </row>
    <row r="16" spans="2:15" x14ac:dyDescent="0.2">
      <c r="B16" s="15" t="s">
        <v>210</v>
      </c>
      <c r="C16" s="43">
        <f>Pressupostos_Assumpt!C41/12*Pressupostos_Assumpt!C50</f>
        <v>10</v>
      </c>
      <c r="D16" s="43">
        <f>Pressupostos_Assumpt!C41/12*Pressupostos_Assumpt!C50</f>
        <v>10</v>
      </c>
      <c r="E16" s="43">
        <f>Pressupostos_Assumpt!C41/12*Pressupostos_Assumpt!C50</f>
        <v>10</v>
      </c>
      <c r="F16" s="43">
        <f>Pressupostos_Assumpt!C41/12*Pressupostos_Assumpt!C50</f>
        <v>10</v>
      </c>
      <c r="G16" s="43">
        <f>Pressupostos_Assumpt!C41/12*Pressupostos_Assumpt!C50</f>
        <v>10</v>
      </c>
      <c r="H16" s="43">
        <f>Pressupostos_Assumpt!C41/12*Pressupostos_Assumpt!C50</f>
        <v>10</v>
      </c>
      <c r="I16" s="43">
        <f>Pressupostos_Assumpt!C41/12*Pressupostos_Assumpt!C50</f>
        <v>10</v>
      </c>
      <c r="J16" s="43">
        <f>Pressupostos_Assumpt!C41/12*Pressupostos_Assumpt!C50</f>
        <v>10</v>
      </c>
      <c r="K16" s="43">
        <f>Pressupostos_Assumpt!C41/12*Pressupostos_Assumpt!C50</f>
        <v>10</v>
      </c>
      <c r="L16" s="43">
        <f>Pressupostos_Assumpt!C41/12*Pressupostos_Assumpt!C50</f>
        <v>10</v>
      </c>
      <c r="M16" s="43">
        <f>Pressupostos_Assumpt!C41/12*Pressupostos_Assumpt!C50</f>
        <v>10</v>
      </c>
      <c r="N16" s="43">
        <f>Pressupostos_Assumpt!C41/12*Pressupostos_Assumpt!C50</f>
        <v>10</v>
      </c>
      <c r="O16" s="44">
        <f t="shared" si="1"/>
        <v>120</v>
      </c>
    </row>
    <row r="17" spans="2:15" ht="28" x14ac:dyDescent="0.2">
      <c r="B17" s="47" t="s">
        <v>211</v>
      </c>
      <c r="C17" s="44">
        <f t="shared" ref="C17:N17" si="2">C11+C12+C13+C14+C15+C16</f>
        <v>304.16666666666663</v>
      </c>
      <c r="D17" s="44">
        <f t="shared" si="2"/>
        <v>304.16666666666663</v>
      </c>
      <c r="E17" s="44">
        <f t="shared" si="2"/>
        <v>304.16666666666663</v>
      </c>
      <c r="F17" s="44">
        <f t="shared" si="2"/>
        <v>304.16666666666663</v>
      </c>
      <c r="G17" s="44">
        <f t="shared" si="2"/>
        <v>304.16666666666663</v>
      </c>
      <c r="H17" s="44">
        <f t="shared" si="2"/>
        <v>304.16666666666663</v>
      </c>
      <c r="I17" s="44">
        <f t="shared" si="2"/>
        <v>304.16666666666663</v>
      </c>
      <c r="J17" s="44">
        <f t="shared" si="2"/>
        <v>304.16666666666663</v>
      </c>
      <c r="K17" s="44">
        <f t="shared" si="2"/>
        <v>304.16666666666663</v>
      </c>
      <c r="L17" s="44">
        <f t="shared" si="2"/>
        <v>304.16666666666663</v>
      </c>
      <c r="M17" s="44">
        <f t="shared" si="2"/>
        <v>304.16666666666663</v>
      </c>
      <c r="N17" s="44">
        <f t="shared" si="2"/>
        <v>304.16666666666663</v>
      </c>
      <c r="O17" s="44">
        <f t="shared" si="1"/>
        <v>3649.9999999999986</v>
      </c>
    </row>
    <row r="18" spans="2:15" x14ac:dyDescent="0.2">
      <c r="B18" s="14" t="s">
        <v>212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</row>
    <row r="19" spans="2:15" x14ac:dyDescent="0.2">
      <c r="B19" s="15" t="s">
        <v>116</v>
      </c>
      <c r="C19" s="43">
        <f>Pressupostos_Assumpt!C44</f>
        <v>100</v>
      </c>
      <c r="D19" s="43">
        <f>Pressupostos_Assumpt!C44</f>
        <v>100</v>
      </c>
      <c r="E19" s="43">
        <f>Pressupostos_Assumpt!C44</f>
        <v>100</v>
      </c>
      <c r="F19" s="43">
        <f>Pressupostos_Assumpt!C44</f>
        <v>100</v>
      </c>
      <c r="G19" s="43">
        <f>Pressupostos_Assumpt!C44</f>
        <v>100</v>
      </c>
      <c r="H19" s="43">
        <f>Pressupostos_Assumpt!C44</f>
        <v>100</v>
      </c>
      <c r="I19" s="43">
        <f>Pressupostos_Assumpt!C44</f>
        <v>100</v>
      </c>
      <c r="J19" s="43">
        <f>Pressupostos_Assumpt!C44</f>
        <v>100</v>
      </c>
      <c r="K19" s="43">
        <f>Pressupostos_Assumpt!C44</f>
        <v>100</v>
      </c>
      <c r="L19" s="43">
        <f>Pressupostos_Assumpt!C44</f>
        <v>100</v>
      </c>
      <c r="M19" s="43">
        <f>Pressupostos_Assumpt!C44</f>
        <v>100</v>
      </c>
      <c r="N19" s="43">
        <f>Pressupostos_Assumpt!C44</f>
        <v>100</v>
      </c>
      <c r="O19" s="44">
        <f>SUM(C19:N19)</f>
        <v>1200</v>
      </c>
    </row>
    <row r="20" spans="2:15" x14ac:dyDescent="0.2">
      <c r="B20" s="15" t="s">
        <v>118</v>
      </c>
      <c r="C20" s="43">
        <f>Pressupostos_Assumpt!C45</f>
        <v>80</v>
      </c>
      <c r="D20" s="43">
        <f>Pressupostos_Assumpt!C45</f>
        <v>80</v>
      </c>
      <c r="E20" s="43">
        <f>Pressupostos_Assumpt!C45</f>
        <v>80</v>
      </c>
      <c r="F20" s="43">
        <f>Pressupostos_Assumpt!C45</f>
        <v>80</v>
      </c>
      <c r="G20" s="43">
        <f>Pressupostos_Assumpt!C45</f>
        <v>80</v>
      </c>
      <c r="H20" s="43">
        <f>Pressupostos_Assumpt!C45</f>
        <v>80</v>
      </c>
      <c r="I20" s="43">
        <f>Pressupostos_Assumpt!C45</f>
        <v>80</v>
      </c>
      <c r="J20" s="43">
        <f>Pressupostos_Assumpt!C45</f>
        <v>80</v>
      </c>
      <c r="K20" s="43">
        <f>Pressupostos_Assumpt!C45</f>
        <v>80</v>
      </c>
      <c r="L20" s="43">
        <f>Pressupostos_Assumpt!C45</f>
        <v>80</v>
      </c>
      <c r="M20" s="43">
        <f>Pressupostos_Assumpt!C45</f>
        <v>80</v>
      </c>
      <c r="N20" s="43">
        <f>Pressupostos_Assumpt!C45</f>
        <v>80</v>
      </c>
      <c r="O20" s="44">
        <f>SUM(C20:N20)</f>
        <v>960</v>
      </c>
    </row>
    <row r="21" spans="2:15" x14ac:dyDescent="0.2">
      <c r="B21" s="15" t="s">
        <v>120</v>
      </c>
      <c r="C21" s="43">
        <f>Pressupostos_Assumpt!C46</f>
        <v>30</v>
      </c>
      <c r="D21" s="43">
        <f>Pressupostos_Assumpt!C46</f>
        <v>30</v>
      </c>
      <c r="E21" s="43">
        <f>Pressupostos_Assumpt!C46</f>
        <v>30</v>
      </c>
      <c r="F21" s="43">
        <f>Pressupostos_Assumpt!C46</f>
        <v>30</v>
      </c>
      <c r="G21" s="43">
        <f>Pressupostos_Assumpt!C46</f>
        <v>30</v>
      </c>
      <c r="H21" s="43">
        <f>Pressupostos_Assumpt!C46</f>
        <v>30</v>
      </c>
      <c r="I21" s="43">
        <f>Pressupostos_Assumpt!C46</f>
        <v>30</v>
      </c>
      <c r="J21" s="43">
        <f>Pressupostos_Assumpt!C46</f>
        <v>30</v>
      </c>
      <c r="K21" s="43">
        <f>Pressupostos_Assumpt!C46</f>
        <v>30</v>
      </c>
      <c r="L21" s="43">
        <f>Pressupostos_Assumpt!C46</f>
        <v>30</v>
      </c>
      <c r="M21" s="43">
        <f>Pressupostos_Assumpt!C46</f>
        <v>30</v>
      </c>
      <c r="N21" s="43">
        <f>Pressupostos_Assumpt!C46</f>
        <v>30</v>
      </c>
      <c r="O21" s="44">
        <f>SUM(C21:N21)</f>
        <v>360</v>
      </c>
    </row>
    <row r="22" spans="2:15" x14ac:dyDescent="0.2">
      <c r="B22" s="47" t="s">
        <v>213</v>
      </c>
      <c r="C22" s="44">
        <f t="shared" ref="C22:N22" si="3">C19+C20+C21</f>
        <v>210</v>
      </c>
      <c r="D22" s="44">
        <f t="shared" si="3"/>
        <v>210</v>
      </c>
      <c r="E22" s="44">
        <f t="shared" si="3"/>
        <v>210</v>
      </c>
      <c r="F22" s="44">
        <f t="shared" si="3"/>
        <v>210</v>
      </c>
      <c r="G22" s="44">
        <f t="shared" si="3"/>
        <v>210</v>
      </c>
      <c r="H22" s="44">
        <f t="shared" si="3"/>
        <v>210</v>
      </c>
      <c r="I22" s="44">
        <f t="shared" si="3"/>
        <v>210</v>
      </c>
      <c r="J22" s="44">
        <f t="shared" si="3"/>
        <v>210</v>
      </c>
      <c r="K22" s="44">
        <f t="shared" si="3"/>
        <v>210</v>
      </c>
      <c r="L22" s="44">
        <f t="shared" si="3"/>
        <v>210</v>
      </c>
      <c r="M22" s="44">
        <f t="shared" si="3"/>
        <v>210</v>
      </c>
      <c r="N22" s="44">
        <f t="shared" si="3"/>
        <v>210</v>
      </c>
      <c r="O22" s="44">
        <f>SUM(C22:N22)</f>
        <v>2520</v>
      </c>
    </row>
    <row r="23" spans="2:15" x14ac:dyDescent="0.2">
      <c r="B23" s="14" t="s">
        <v>214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</row>
    <row r="24" spans="2:15" x14ac:dyDescent="0.2">
      <c r="B24" s="15" t="s">
        <v>215</v>
      </c>
      <c r="C24" s="43">
        <f>Pressupostos_Assumpt!C15/12*Pressupostos_Assumpt!C50</f>
        <v>333.33333333333331</v>
      </c>
      <c r="D24" s="43">
        <f>Pressupostos_Assumpt!C15/12*Pressupostos_Assumpt!C50</f>
        <v>333.33333333333331</v>
      </c>
      <c r="E24" s="43">
        <f>Pressupostos_Assumpt!C15/12*Pressupostos_Assumpt!C50</f>
        <v>333.33333333333331</v>
      </c>
      <c r="F24" s="43">
        <f>Pressupostos_Assumpt!C15/12*Pressupostos_Assumpt!C50</f>
        <v>333.33333333333331</v>
      </c>
      <c r="G24" s="43">
        <f>Pressupostos_Assumpt!C15/12*Pressupostos_Assumpt!C50</f>
        <v>333.33333333333331</v>
      </c>
      <c r="H24" s="43">
        <f>Pressupostos_Assumpt!C15/12*Pressupostos_Assumpt!C50</f>
        <v>333.33333333333331</v>
      </c>
      <c r="I24" s="43">
        <f>Pressupostos_Assumpt!C15/12*Pressupostos_Assumpt!C50</f>
        <v>333.33333333333331</v>
      </c>
      <c r="J24" s="43">
        <f>Pressupostos_Assumpt!C15/12*Pressupostos_Assumpt!C50</f>
        <v>333.33333333333331</v>
      </c>
      <c r="K24" s="43">
        <f>Pressupostos_Assumpt!C15/12*Pressupostos_Assumpt!C50</f>
        <v>333.33333333333331</v>
      </c>
      <c r="L24" s="43">
        <f>Pressupostos_Assumpt!C15/12*Pressupostos_Assumpt!C50</f>
        <v>333.33333333333331</v>
      </c>
      <c r="M24" s="43">
        <f>Pressupostos_Assumpt!C15/12*Pressupostos_Assumpt!C50</f>
        <v>333.33333333333331</v>
      </c>
      <c r="N24" s="43">
        <f>Pressupostos_Assumpt!C15/12*Pressupostos_Assumpt!C50</f>
        <v>333.33333333333331</v>
      </c>
      <c r="O24" s="44">
        <f>SUM(C24:N24)</f>
        <v>4000.0000000000005</v>
      </c>
    </row>
    <row r="25" spans="2:15" x14ac:dyDescent="0.2">
      <c r="B25" s="15" t="s">
        <v>216</v>
      </c>
      <c r="C25" s="43">
        <f>Financiamento_Loan!D11*Pressupostos_Assumpt!C50</f>
        <v>240.00000000000003</v>
      </c>
      <c r="D25" s="43">
        <f>Financiamento_Loan!D12*Pressupostos_Assumpt!C50</f>
        <v>237.85930854335933</v>
      </c>
      <c r="E25" s="43">
        <f>Financiamento_Loan!D13*Pressupostos_Assumpt!C50</f>
        <v>235.70434581034104</v>
      </c>
      <c r="F25" s="43">
        <f>Financiamento_Loan!D14*Pressupostos_Assumpt!C50</f>
        <v>233.53501665910261</v>
      </c>
      <c r="G25" s="43">
        <f>Financiamento_Loan!D15*Pressupostos_Assumpt!C50</f>
        <v>231.3512253135226</v>
      </c>
      <c r="H25" s="43">
        <f>Financiamento_Loan!D16*Pressupostos_Assumpt!C50</f>
        <v>229.15287535897204</v>
      </c>
      <c r="I25" s="43">
        <f>Financiamento_Loan!D17*Pressupostos_Assumpt!C50</f>
        <v>226.93986973805787</v>
      </c>
      <c r="J25" s="43">
        <f>Financiamento_Loan!D18*Pressupostos_Assumpt!C50</f>
        <v>224.71211074633757</v>
      </c>
      <c r="K25" s="43">
        <f>Financiamento_Loan!D19*Pressupostos_Assumpt!C50</f>
        <v>222.46950002800583</v>
      </c>
      <c r="L25" s="43">
        <f>Financiamento_Loan!D20*Pressupostos_Assumpt!C50</f>
        <v>220.21193857155183</v>
      </c>
      <c r="M25" s="43">
        <f>Financiamento_Loan!D21*Pressupostos_Assumpt!C50</f>
        <v>217.93932670538817</v>
      </c>
      <c r="N25" s="43">
        <f>Financiamento_Loan!D22*Pressupostos_Assumpt!C50</f>
        <v>215.65156409345005</v>
      </c>
      <c r="O25" s="44">
        <f>SUM(C25:N25)</f>
        <v>2735.5270815680892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O17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34" customWidth="1"/>
    <col min="3" max="14" width="9" customWidth="1"/>
    <col min="15" max="15" width="12" customWidth="1"/>
  </cols>
  <sheetData>
    <row r="2" spans="2:15" ht="18" x14ac:dyDescent="0.2">
      <c r="B2" s="13" t="s">
        <v>217</v>
      </c>
    </row>
    <row r="3" spans="2:15" x14ac:dyDescent="0.2">
      <c r="B3" s="3" t="s">
        <v>218</v>
      </c>
    </row>
    <row r="5" spans="2:15" x14ac:dyDescent="0.2">
      <c r="B5" s="34" t="s">
        <v>173</v>
      </c>
      <c r="C5" s="35" t="s">
        <v>174</v>
      </c>
      <c r="D5" s="35" t="s">
        <v>175</v>
      </c>
      <c r="E5" s="35" t="s">
        <v>176</v>
      </c>
      <c r="F5" s="35" t="s">
        <v>177</v>
      </c>
      <c r="G5" s="35" t="s">
        <v>178</v>
      </c>
      <c r="H5" s="35" t="s">
        <v>179</v>
      </c>
      <c r="I5" s="35" t="s">
        <v>180</v>
      </c>
      <c r="J5" s="35" t="s">
        <v>181</v>
      </c>
      <c r="K5" s="35" t="s">
        <v>182</v>
      </c>
      <c r="L5" s="35" t="s">
        <v>183</v>
      </c>
      <c r="M5" s="35" t="s">
        <v>184</v>
      </c>
      <c r="N5" s="35" t="s">
        <v>185</v>
      </c>
      <c r="O5" s="35" t="s">
        <v>186</v>
      </c>
    </row>
    <row r="6" spans="2:15" x14ac:dyDescent="0.2">
      <c r="B6" s="50" t="s">
        <v>219</v>
      </c>
      <c r="C6" s="7">
        <f>Receita_Revenue!C14</f>
        <v>464.464</v>
      </c>
      <c r="D6" s="7">
        <f>Receita_Revenue!D14</f>
        <v>416.416</v>
      </c>
      <c r="E6" s="7">
        <f>Receita_Revenue!E14</f>
        <v>464.464</v>
      </c>
      <c r="F6" s="7">
        <f>Receita_Revenue!F14</f>
        <v>1646.4</v>
      </c>
      <c r="G6" s="7">
        <f>Receita_Revenue!G14</f>
        <v>1705.2</v>
      </c>
      <c r="H6" s="7">
        <f>Receita_Revenue!H14</f>
        <v>4014.0800000000004</v>
      </c>
      <c r="I6" s="7">
        <f>Receita_Revenue!I14</f>
        <v>4157.4400000000005</v>
      </c>
      <c r="J6" s="7">
        <f>Receita_Revenue!J14</f>
        <v>4157.4400000000005</v>
      </c>
      <c r="K6" s="7">
        <f>Receita_Revenue!K14</f>
        <v>4014.0800000000004</v>
      </c>
      <c r="L6" s="7">
        <f>Receita_Revenue!L14</f>
        <v>1705.2</v>
      </c>
      <c r="M6" s="7">
        <f>Receita_Revenue!M14</f>
        <v>448.44800000000004</v>
      </c>
      <c r="N6" s="7">
        <f>Receita_Revenue!N14</f>
        <v>464.464</v>
      </c>
      <c r="O6" s="44">
        <f t="shared" ref="O6:O17" si="0">SUM(C6:N6)</f>
        <v>23658.096000000005</v>
      </c>
    </row>
    <row r="7" spans="2:15" x14ac:dyDescent="0.2">
      <c r="B7" s="50" t="s">
        <v>220</v>
      </c>
      <c r="C7" s="7">
        <f>-Custos_Costs!C9</f>
        <v>-112.20293333333333</v>
      </c>
      <c r="D7" s="7">
        <f>-Custos_Costs!D9</f>
        <v>-100.59573333333333</v>
      </c>
      <c r="E7" s="7">
        <f>-Custos_Costs!E9</f>
        <v>-112.20293333333333</v>
      </c>
      <c r="F7" s="7">
        <f>-Custos_Costs!F9</f>
        <v>-340.29333333333335</v>
      </c>
      <c r="G7" s="7">
        <f>-Custos_Costs!G9</f>
        <v>-352.44666666666666</v>
      </c>
      <c r="H7" s="7">
        <f>-Custos_Costs!H9</f>
        <v>-751.44533333333345</v>
      </c>
      <c r="I7" s="7">
        <f>-Custos_Costs!I9</f>
        <v>-778.28266666666673</v>
      </c>
      <c r="J7" s="7">
        <f>-Custos_Costs!J9</f>
        <v>-778.28266666666673</v>
      </c>
      <c r="K7" s="7">
        <f>-Custos_Costs!K9</f>
        <v>-751.44533333333345</v>
      </c>
      <c r="L7" s="7">
        <f>-Custos_Costs!L9</f>
        <v>-352.44666666666666</v>
      </c>
      <c r="M7" s="7">
        <f>-Custos_Costs!M9</f>
        <v>-108.33386666666667</v>
      </c>
      <c r="N7" s="7">
        <f>-Custos_Costs!N9</f>
        <v>-112.20293333333333</v>
      </c>
      <c r="O7" s="44">
        <f t="shared" si="0"/>
        <v>-4650.181066666667</v>
      </c>
    </row>
    <row r="8" spans="2:15" ht="28" x14ac:dyDescent="0.2">
      <c r="B8" s="51" t="s">
        <v>221</v>
      </c>
      <c r="C8" s="52">
        <f t="shared" ref="C8:N8" si="1">C6+C7</f>
        <v>352.26106666666669</v>
      </c>
      <c r="D8" s="52">
        <f t="shared" si="1"/>
        <v>315.82026666666667</v>
      </c>
      <c r="E8" s="52">
        <f t="shared" si="1"/>
        <v>352.26106666666669</v>
      </c>
      <c r="F8" s="52">
        <f t="shared" si="1"/>
        <v>1306.1066666666668</v>
      </c>
      <c r="G8" s="52">
        <f t="shared" si="1"/>
        <v>1352.7533333333333</v>
      </c>
      <c r="H8" s="52">
        <f t="shared" si="1"/>
        <v>3262.6346666666668</v>
      </c>
      <c r="I8" s="52">
        <f t="shared" si="1"/>
        <v>3379.1573333333336</v>
      </c>
      <c r="J8" s="52">
        <f t="shared" si="1"/>
        <v>3379.1573333333336</v>
      </c>
      <c r="K8" s="52">
        <f t="shared" si="1"/>
        <v>3262.6346666666668</v>
      </c>
      <c r="L8" s="52">
        <f t="shared" si="1"/>
        <v>1352.7533333333333</v>
      </c>
      <c r="M8" s="52">
        <f t="shared" si="1"/>
        <v>340.11413333333337</v>
      </c>
      <c r="N8" s="52">
        <f t="shared" si="1"/>
        <v>352.26106666666669</v>
      </c>
      <c r="O8" s="52">
        <f t="shared" si="0"/>
        <v>19007.91493333333</v>
      </c>
    </row>
    <row r="9" spans="2:15" x14ac:dyDescent="0.2">
      <c r="B9" s="50" t="s">
        <v>222</v>
      </c>
      <c r="C9" s="7">
        <f>-Custos_Costs!C17</f>
        <v>-304.16666666666663</v>
      </c>
      <c r="D9" s="7">
        <f>-Custos_Costs!D17</f>
        <v>-304.16666666666663</v>
      </c>
      <c r="E9" s="7">
        <f>-Custos_Costs!E17</f>
        <v>-304.16666666666663</v>
      </c>
      <c r="F9" s="7">
        <f>-Custos_Costs!F17</f>
        <v>-304.16666666666663</v>
      </c>
      <c r="G9" s="7">
        <f>-Custos_Costs!G17</f>
        <v>-304.16666666666663</v>
      </c>
      <c r="H9" s="7">
        <f>-Custos_Costs!H17</f>
        <v>-304.16666666666663</v>
      </c>
      <c r="I9" s="7">
        <f>-Custos_Costs!I17</f>
        <v>-304.16666666666663</v>
      </c>
      <c r="J9" s="7">
        <f>-Custos_Costs!J17</f>
        <v>-304.16666666666663</v>
      </c>
      <c r="K9" s="7">
        <f>-Custos_Costs!K17</f>
        <v>-304.16666666666663</v>
      </c>
      <c r="L9" s="7">
        <f>-Custos_Costs!L17</f>
        <v>-304.16666666666663</v>
      </c>
      <c r="M9" s="7">
        <f>-Custos_Costs!M17</f>
        <v>-304.16666666666663</v>
      </c>
      <c r="N9" s="7">
        <f>-Custos_Costs!N17</f>
        <v>-304.16666666666663</v>
      </c>
      <c r="O9" s="44">
        <f t="shared" si="0"/>
        <v>-3649.9999999999986</v>
      </c>
    </row>
    <row r="10" spans="2:15" x14ac:dyDescent="0.2">
      <c r="B10" s="50" t="s">
        <v>223</v>
      </c>
      <c r="C10" s="7">
        <f>-Custos_Costs!C22</f>
        <v>-210</v>
      </c>
      <c r="D10" s="7">
        <f>-Custos_Costs!D22</f>
        <v>-210</v>
      </c>
      <c r="E10" s="7">
        <f>-Custos_Costs!E22</f>
        <v>-210</v>
      </c>
      <c r="F10" s="7">
        <f>-Custos_Costs!F22</f>
        <v>-210</v>
      </c>
      <c r="G10" s="7">
        <f>-Custos_Costs!G22</f>
        <v>-210</v>
      </c>
      <c r="H10" s="7">
        <f>-Custos_Costs!H22</f>
        <v>-210</v>
      </c>
      <c r="I10" s="7">
        <f>-Custos_Costs!I22</f>
        <v>-210</v>
      </c>
      <c r="J10" s="7">
        <f>-Custos_Costs!J22</f>
        <v>-210</v>
      </c>
      <c r="K10" s="7">
        <f>-Custos_Costs!K22</f>
        <v>-210</v>
      </c>
      <c r="L10" s="7">
        <f>-Custos_Costs!L22</f>
        <v>-210</v>
      </c>
      <c r="M10" s="7">
        <f>-Custos_Costs!M22</f>
        <v>-210</v>
      </c>
      <c r="N10" s="7">
        <f>-Custos_Costs!N22</f>
        <v>-210</v>
      </c>
      <c r="O10" s="44">
        <f t="shared" si="0"/>
        <v>-2520</v>
      </c>
    </row>
    <row r="11" spans="2:15" x14ac:dyDescent="0.2">
      <c r="B11" s="51" t="s">
        <v>224</v>
      </c>
      <c r="C11" s="52">
        <f t="shared" ref="C11:N11" si="2">C8+C9+C10</f>
        <v>-161.90559999999994</v>
      </c>
      <c r="D11" s="52">
        <f t="shared" si="2"/>
        <v>-198.34639999999996</v>
      </c>
      <c r="E11" s="52">
        <f t="shared" si="2"/>
        <v>-161.90559999999994</v>
      </c>
      <c r="F11" s="52">
        <f t="shared" si="2"/>
        <v>791.94000000000017</v>
      </c>
      <c r="G11" s="52">
        <f t="shared" si="2"/>
        <v>838.58666666666659</v>
      </c>
      <c r="H11" s="52">
        <f t="shared" si="2"/>
        <v>2748.4680000000003</v>
      </c>
      <c r="I11" s="52">
        <f t="shared" si="2"/>
        <v>2864.990666666667</v>
      </c>
      <c r="J11" s="52">
        <f t="shared" si="2"/>
        <v>2864.990666666667</v>
      </c>
      <c r="K11" s="52">
        <f t="shared" si="2"/>
        <v>2748.4680000000003</v>
      </c>
      <c r="L11" s="52">
        <f t="shared" si="2"/>
        <v>838.58666666666659</v>
      </c>
      <c r="M11" s="52">
        <f t="shared" si="2"/>
        <v>-174.05253333333326</v>
      </c>
      <c r="N11" s="52">
        <f t="shared" si="2"/>
        <v>-161.90559999999994</v>
      </c>
      <c r="O11" s="52">
        <f t="shared" si="0"/>
        <v>12837.914933333335</v>
      </c>
    </row>
    <row r="12" spans="2:15" x14ac:dyDescent="0.2">
      <c r="B12" s="50" t="s">
        <v>225</v>
      </c>
      <c r="C12" s="7">
        <f>-Custos_Costs!C24</f>
        <v>-333.33333333333331</v>
      </c>
      <c r="D12" s="7">
        <f>-Custos_Costs!D24</f>
        <v>-333.33333333333331</v>
      </c>
      <c r="E12" s="7">
        <f>-Custos_Costs!E24</f>
        <v>-333.33333333333331</v>
      </c>
      <c r="F12" s="7">
        <f>-Custos_Costs!F24</f>
        <v>-333.33333333333331</v>
      </c>
      <c r="G12" s="7">
        <f>-Custos_Costs!G24</f>
        <v>-333.33333333333331</v>
      </c>
      <c r="H12" s="7">
        <f>-Custos_Costs!H24</f>
        <v>-333.33333333333331</v>
      </c>
      <c r="I12" s="7">
        <f>-Custos_Costs!I24</f>
        <v>-333.33333333333331</v>
      </c>
      <c r="J12" s="7">
        <f>-Custos_Costs!J24</f>
        <v>-333.33333333333331</v>
      </c>
      <c r="K12" s="7">
        <f>-Custos_Costs!K24</f>
        <v>-333.33333333333331</v>
      </c>
      <c r="L12" s="7">
        <f>-Custos_Costs!L24</f>
        <v>-333.33333333333331</v>
      </c>
      <c r="M12" s="7">
        <f>-Custos_Costs!M24</f>
        <v>-333.33333333333331</v>
      </c>
      <c r="N12" s="7">
        <f>-Custos_Costs!N24</f>
        <v>-333.33333333333331</v>
      </c>
      <c r="O12" s="44">
        <f t="shared" si="0"/>
        <v>-4000.0000000000005</v>
      </c>
    </row>
    <row r="13" spans="2:15" x14ac:dyDescent="0.2">
      <c r="B13" s="51" t="s">
        <v>226</v>
      </c>
      <c r="C13" s="52">
        <f t="shared" ref="C13:N13" si="3">C11+C12</f>
        <v>-495.23893333333325</v>
      </c>
      <c r="D13" s="52">
        <f t="shared" si="3"/>
        <v>-531.67973333333327</v>
      </c>
      <c r="E13" s="52">
        <f t="shared" si="3"/>
        <v>-495.23893333333325</v>
      </c>
      <c r="F13" s="52">
        <f t="shared" si="3"/>
        <v>458.60666666666685</v>
      </c>
      <c r="G13" s="52">
        <f t="shared" si="3"/>
        <v>505.25333333333327</v>
      </c>
      <c r="H13" s="52">
        <f t="shared" si="3"/>
        <v>2415.1346666666668</v>
      </c>
      <c r="I13" s="52">
        <f t="shared" si="3"/>
        <v>2531.6573333333336</v>
      </c>
      <c r="J13" s="52">
        <f t="shared" si="3"/>
        <v>2531.6573333333336</v>
      </c>
      <c r="K13" s="52">
        <f t="shared" si="3"/>
        <v>2415.1346666666668</v>
      </c>
      <c r="L13" s="52">
        <f t="shared" si="3"/>
        <v>505.25333333333327</v>
      </c>
      <c r="M13" s="52">
        <f t="shared" si="3"/>
        <v>-507.38586666666657</v>
      </c>
      <c r="N13" s="52">
        <f t="shared" si="3"/>
        <v>-495.23893333333325</v>
      </c>
      <c r="O13" s="52">
        <f t="shared" si="0"/>
        <v>8837.9149333333335</v>
      </c>
    </row>
    <row r="14" spans="2:15" x14ac:dyDescent="0.2">
      <c r="B14" s="50" t="s">
        <v>227</v>
      </c>
      <c r="C14" s="7">
        <f>-Custos_Costs!C25</f>
        <v>-240.00000000000003</v>
      </c>
      <c r="D14" s="7">
        <f>-Custos_Costs!D25</f>
        <v>-237.85930854335933</v>
      </c>
      <c r="E14" s="7">
        <f>-Custos_Costs!E25</f>
        <v>-235.70434581034104</v>
      </c>
      <c r="F14" s="7">
        <f>-Custos_Costs!F25</f>
        <v>-233.53501665910261</v>
      </c>
      <c r="G14" s="7">
        <f>-Custos_Costs!G25</f>
        <v>-231.3512253135226</v>
      </c>
      <c r="H14" s="7">
        <f>-Custos_Costs!H25</f>
        <v>-229.15287535897204</v>
      </c>
      <c r="I14" s="7">
        <f>-Custos_Costs!I25</f>
        <v>-226.93986973805787</v>
      </c>
      <c r="J14" s="7">
        <f>-Custos_Costs!J25</f>
        <v>-224.71211074633757</v>
      </c>
      <c r="K14" s="7">
        <f>-Custos_Costs!K25</f>
        <v>-222.46950002800583</v>
      </c>
      <c r="L14" s="7">
        <f>-Custos_Costs!L25</f>
        <v>-220.21193857155183</v>
      </c>
      <c r="M14" s="7">
        <f>-Custos_Costs!M25</f>
        <v>-217.93932670538817</v>
      </c>
      <c r="N14" s="7">
        <f>-Custos_Costs!N25</f>
        <v>-215.65156409345005</v>
      </c>
      <c r="O14" s="44">
        <f t="shared" si="0"/>
        <v>-2735.5270815680892</v>
      </c>
    </row>
    <row r="15" spans="2:15" x14ac:dyDescent="0.2">
      <c r="B15" s="51" t="s">
        <v>228</v>
      </c>
      <c r="C15" s="52">
        <f t="shared" ref="C15:N15" si="4">C13+C14</f>
        <v>-735.23893333333331</v>
      </c>
      <c r="D15" s="52">
        <f t="shared" si="4"/>
        <v>-769.53904187669264</v>
      </c>
      <c r="E15" s="52">
        <f t="shared" si="4"/>
        <v>-730.94327914367432</v>
      </c>
      <c r="F15" s="52">
        <f t="shared" si="4"/>
        <v>225.07165000756424</v>
      </c>
      <c r="G15" s="52">
        <f t="shared" si="4"/>
        <v>273.90210801981067</v>
      </c>
      <c r="H15" s="52">
        <f t="shared" si="4"/>
        <v>2185.9817913076949</v>
      </c>
      <c r="I15" s="52">
        <f t="shared" si="4"/>
        <v>2304.7174635952756</v>
      </c>
      <c r="J15" s="52">
        <f t="shared" si="4"/>
        <v>2306.9452225869959</v>
      </c>
      <c r="K15" s="52">
        <f t="shared" si="4"/>
        <v>2192.665166638661</v>
      </c>
      <c r="L15" s="52">
        <f t="shared" si="4"/>
        <v>285.04139476178148</v>
      </c>
      <c r="M15" s="52">
        <f t="shared" si="4"/>
        <v>-725.32519337205474</v>
      </c>
      <c r="N15" s="52">
        <f t="shared" si="4"/>
        <v>-710.89049742678333</v>
      </c>
      <c r="O15" s="52">
        <f t="shared" si="0"/>
        <v>6102.3878517652456</v>
      </c>
    </row>
    <row r="16" spans="2:15" x14ac:dyDescent="0.2">
      <c r="B16" s="15" t="s">
        <v>229</v>
      </c>
      <c r="C16" s="43">
        <f>-IF(C15&gt;0,C15*Pressupostos_Assumpt!C56,0)</f>
        <v>0</v>
      </c>
      <c r="D16" s="43">
        <f>-IF(D15&gt;0,D15*Pressupostos_Assumpt!C56,0)</f>
        <v>0</v>
      </c>
      <c r="E16" s="43">
        <f>-IF(E15&gt;0,E15*Pressupostos_Assumpt!C56,0)</f>
        <v>0</v>
      </c>
      <c r="F16" s="43">
        <f>-IF(F15&gt;0,F15*Pressupostos_Assumpt!C56,0)</f>
        <v>-36.011464001210278</v>
      </c>
      <c r="G16" s="43">
        <f>-IF(G15&gt;0,G15*Pressupostos_Assumpt!C56,0)</f>
        <v>-43.824337283169704</v>
      </c>
      <c r="H16" s="43">
        <f>-IF(H15&gt;0,H15*Pressupostos_Assumpt!C56,0)</f>
        <v>-349.75708660923118</v>
      </c>
      <c r="I16" s="43">
        <f>-IF(I15&gt;0,I15*Pressupostos_Assumpt!C56,0)</f>
        <v>-368.75479417524411</v>
      </c>
      <c r="J16" s="43">
        <f>-IF(J15&gt;0,J15*Pressupostos_Assumpt!C56,0)</f>
        <v>-369.11123561391935</v>
      </c>
      <c r="K16" s="43">
        <f>-IF(K15&gt;0,K15*Pressupostos_Assumpt!C56,0)</f>
        <v>-350.82642666218578</v>
      </c>
      <c r="L16" s="43">
        <f>-IF(L15&gt;0,L15*Pressupostos_Assumpt!C56,0)</f>
        <v>-45.60662316188504</v>
      </c>
      <c r="M16" s="43">
        <f>-IF(M15&gt;0,M15*Pressupostos_Assumpt!C56,0)</f>
        <v>0</v>
      </c>
      <c r="N16" s="43">
        <f>-IF(N15&gt;0,N15*Pressupostos_Assumpt!C56,0)</f>
        <v>0</v>
      </c>
      <c r="O16" s="44">
        <f t="shared" si="0"/>
        <v>-1563.8919675068453</v>
      </c>
    </row>
    <row r="17" spans="2:15" x14ac:dyDescent="0.2">
      <c r="B17" s="53" t="s">
        <v>230</v>
      </c>
      <c r="C17" s="48">
        <f t="shared" ref="C17:N17" si="5">C15+C16</f>
        <v>-735.23893333333331</v>
      </c>
      <c r="D17" s="48">
        <f t="shared" si="5"/>
        <v>-769.53904187669264</v>
      </c>
      <c r="E17" s="48">
        <f t="shared" si="5"/>
        <v>-730.94327914367432</v>
      </c>
      <c r="F17" s="48">
        <f t="shared" si="5"/>
        <v>189.06018600635397</v>
      </c>
      <c r="G17" s="48">
        <f t="shared" si="5"/>
        <v>230.07777073664096</v>
      </c>
      <c r="H17" s="48">
        <f t="shared" si="5"/>
        <v>1836.2247046984637</v>
      </c>
      <c r="I17" s="48">
        <f t="shared" si="5"/>
        <v>1935.9626694200315</v>
      </c>
      <c r="J17" s="48">
        <f t="shared" si="5"/>
        <v>1937.8339869730767</v>
      </c>
      <c r="K17" s="48">
        <f t="shared" si="5"/>
        <v>1841.8387399764752</v>
      </c>
      <c r="L17" s="48">
        <f t="shared" si="5"/>
        <v>239.43477159989644</v>
      </c>
      <c r="M17" s="48">
        <f t="shared" si="5"/>
        <v>-725.32519337205474</v>
      </c>
      <c r="N17" s="48">
        <f t="shared" si="5"/>
        <v>-710.89049742678333</v>
      </c>
      <c r="O17" s="48">
        <f t="shared" si="0"/>
        <v>4538.4958842584001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54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42" customWidth="1"/>
    <col min="3" max="8" width="12" customWidth="1"/>
  </cols>
  <sheetData>
    <row r="2" spans="2:8" ht="18" x14ac:dyDescent="0.2">
      <c r="B2" s="13" t="s">
        <v>231</v>
      </c>
    </row>
    <row r="3" spans="2:8" x14ac:dyDescent="0.2">
      <c r="B3" s="3" t="s">
        <v>232</v>
      </c>
    </row>
    <row r="5" spans="2:8" x14ac:dyDescent="0.2">
      <c r="B5" s="34" t="s">
        <v>233</v>
      </c>
      <c r="C5" s="35" t="s">
        <v>234</v>
      </c>
      <c r="D5" s="35" t="s">
        <v>235</v>
      </c>
      <c r="E5" s="35" t="s">
        <v>236</v>
      </c>
      <c r="F5" s="35" t="s">
        <v>237</v>
      </c>
      <c r="G5" s="35" t="s">
        <v>238</v>
      </c>
      <c r="H5" s="35" t="s">
        <v>239</v>
      </c>
    </row>
    <row r="6" spans="2:8" x14ac:dyDescent="0.2">
      <c r="B6" s="15" t="s">
        <v>240</v>
      </c>
      <c r="C6" s="39">
        <f>IF(1&lt;=Venda_Resale!$C$27,1,0)</f>
        <v>1</v>
      </c>
      <c r="D6" s="39">
        <f>IF(2&lt;=Venda_Resale!$C$27,1,0)</f>
        <v>1</v>
      </c>
      <c r="E6" s="39">
        <f>IF(3&lt;=Venda_Resale!$C$27,1,0)</f>
        <v>1</v>
      </c>
      <c r="F6" s="39">
        <f>IF(4&lt;=Venda_Resale!$C$27,1,0)</f>
        <v>1</v>
      </c>
      <c r="G6" s="39">
        <f>IF(5&lt;=Venda_Resale!$C$27,1,0)</f>
        <v>0</v>
      </c>
      <c r="H6" s="39">
        <f>IF(6&lt;=Venda_Resale!$C$27,1,0)</f>
        <v>0</v>
      </c>
    </row>
    <row r="7" spans="2:8" x14ac:dyDescent="0.2">
      <c r="B7" s="50" t="s">
        <v>241</v>
      </c>
      <c r="C7" s="7">
        <f>Venda_Resale!C14*C6</f>
        <v>23658.096000000005</v>
      </c>
      <c r="D7" s="7">
        <f>Venda_Resale!D14*D6</f>
        <v>24367.838880000007</v>
      </c>
      <c r="E7" s="7">
        <f>Venda_Resale!E14*E6</f>
        <v>25098.874046400004</v>
      </c>
      <c r="F7" s="7">
        <f>Venda_Resale!F14*F6</f>
        <v>25851.840267792006</v>
      </c>
      <c r="G7" s="7">
        <f>Venda_Resale!G14*G6</f>
        <v>0</v>
      </c>
      <c r="H7" s="7">
        <f>Venda_Resale!H14*H6</f>
        <v>0</v>
      </c>
    </row>
    <row r="8" spans="2:8" x14ac:dyDescent="0.2">
      <c r="B8" s="50" t="s">
        <v>242</v>
      </c>
      <c r="C8" s="7">
        <f>Venda_Resale!C15*C6</f>
        <v>12837.914933333339</v>
      </c>
      <c r="D8" s="7">
        <f>Venda_Resale!D15*D6</f>
        <v>13332.552381333342</v>
      </c>
      <c r="E8" s="7">
        <f>Venda_Resale!E15*E6</f>
        <v>13842.028952773337</v>
      </c>
      <c r="F8" s="7">
        <f>Venda_Resale!F15*F6</f>
        <v>14366.78982135654</v>
      </c>
      <c r="G8" s="7">
        <f>Venda_Resale!G15*G6</f>
        <v>0</v>
      </c>
      <c r="H8" s="7">
        <f>Venda_Resale!H15*H6</f>
        <v>0</v>
      </c>
    </row>
    <row r="9" spans="2:8" x14ac:dyDescent="0.2">
      <c r="B9" s="50" t="s">
        <v>225</v>
      </c>
      <c r="C9" s="7">
        <f>Venda_Resale!C16*C6</f>
        <v>-4000</v>
      </c>
      <c r="D9" s="7">
        <f>Venda_Resale!D16*D6</f>
        <v>-4000</v>
      </c>
      <c r="E9" s="7">
        <f>Venda_Resale!E16*E6</f>
        <v>-4000</v>
      </c>
      <c r="F9" s="7">
        <f>Venda_Resale!F16*F6</f>
        <v>-4000</v>
      </c>
      <c r="G9" s="7">
        <f>Venda_Resale!G16*G6</f>
        <v>0</v>
      </c>
      <c r="H9" s="7">
        <f>Venda_Resale!H16*H6</f>
        <v>0</v>
      </c>
    </row>
    <row r="10" spans="2:8" x14ac:dyDescent="0.2">
      <c r="B10" s="50" t="s">
        <v>227</v>
      </c>
      <c r="C10" s="7">
        <f>Venda_Resale!C17*C6</f>
        <v>-2735.5270815680892</v>
      </c>
      <c r="D10" s="7">
        <f>Venda_Resale!D17*D6</f>
        <v>-2403.7184973603867</v>
      </c>
      <c r="E10" s="7">
        <f>Venda_Resale!E17*E6</f>
        <v>-2044.3699643089453</v>
      </c>
      <c r="F10" s="7">
        <f>Venda_Resale!F17*F6</f>
        <v>-1655.195680242233</v>
      </c>
      <c r="G10" s="7">
        <f>Venda_Resale!G17*G6</f>
        <v>0</v>
      </c>
      <c r="H10" s="7">
        <f>Venda_Resale!H17*H6</f>
        <v>0</v>
      </c>
    </row>
    <row r="11" spans="2:8" x14ac:dyDescent="0.2">
      <c r="B11" s="51" t="s">
        <v>243</v>
      </c>
      <c r="C11" s="52">
        <f t="shared" ref="C11:H11" si="0">C8+C9+C10</f>
        <v>6102.3878517652502</v>
      </c>
      <c r="D11" s="52">
        <f t="shared" si="0"/>
        <v>6928.8338839729549</v>
      </c>
      <c r="E11" s="52">
        <f t="shared" si="0"/>
        <v>7797.6589884643909</v>
      </c>
      <c r="F11" s="52">
        <f t="shared" si="0"/>
        <v>8711.5941411143067</v>
      </c>
      <c r="G11" s="52">
        <f t="shared" si="0"/>
        <v>0</v>
      </c>
      <c r="H11" s="52">
        <f t="shared" si="0"/>
        <v>0</v>
      </c>
    </row>
    <row r="12" spans="2:8" x14ac:dyDescent="0.2">
      <c r="B12" s="15" t="s">
        <v>244</v>
      </c>
      <c r="C12" s="43">
        <f>-IF(C11&gt;0,C11*Pressupostos_Assumpt!C56,0)</f>
        <v>-976.38205628244009</v>
      </c>
      <c r="D12" s="43">
        <f>-IF(D11&gt;0,D11*Pressupostos_Assumpt!C56,0)</f>
        <v>-1108.6134214356728</v>
      </c>
      <c r="E12" s="43">
        <f>-IF(E11&gt;0,E11*Pressupostos_Assumpt!C56,0)</f>
        <v>-1247.6254381543026</v>
      </c>
      <c r="F12" s="43">
        <f>-IF(F11&gt;0,F11*Pressupostos_Assumpt!C56,0)</f>
        <v>-1393.8550625782891</v>
      </c>
      <c r="G12" s="43">
        <f>-IF(G11&gt;0,G11*Pressupostos_Assumpt!C56,0)</f>
        <v>0</v>
      </c>
      <c r="H12" s="43">
        <f>-IF(H11&gt;0,H11*Pressupostos_Assumpt!C56,0)</f>
        <v>0</v>
      </c>
    </row>
    <row r="13" spans="2:8" x14ac:dyDescent="0.2">
      <c r="B13" s="53" t="s">
        <v>245</v>
      </c>
      <c r="C13" s="48">
        <f t="shared" ref="C13:H13" si="1">C11+C12</f>
        <v>5126.0057954828098</v>
      </c>
      <c r="D13" s="48">
        <f t="shared" si="1"/>
        <v>5820.2204625372824</v>
      </c>
      <c r="E13" s="48">
        <f t="shared" si="1"/>
        <v>6550.0335503100887</v>
      </c>
      <c r="F13" s="48">
        <f t="shared" si="1"/>
        <v>7317.7390785360176</v>
      </c>
      <c r="G13" s="48">
        <f t="shared" si="1"/>
        <v>0</v>
      </c>
      <c r="H13" s="48">
        <f t="shared" si="1"/>
        <v>0</v>
      </c>
    </row>
    <row r="14" spans="2:8" ht="28" x14ac:dyDescent="0.2">
      <c r="B14" s="15" t="s">
        <v>246</v>
      </c>
      <c r="C14" s="43">
        <f>IF(1=Venda_Resale!$C$27,(Venda_Resale!C7-(Pressupostos_Assumpt!C7-Pressupostos_Assumpt!C15*MIN(1,Pressupostos_Assumpt!C13)))*(1-Pressupostos_Assumpt!C56),0)</f>
        <v>0</v>
      </c>
      <c r="D14" s="43">
        <f>IF(2=Venda_Resale!$C$27,(Venda_Resale!D7-(Pressupostos_Assumpt!C7-Pressupostos_Assumpt!C15*MIN(2,Pressupostos_Assumpt!C13)))*(1-Pressupostos_Assumpt!C56),0)</f>
        <v>0</v>
      </c>
      <c r="E14" s="43">
        <f>IF(3=Venda_Resale!$C$27,(Venda_Resale!E7-(Pressupostos_Assumpt!C7-Pressupostos_Assumpt!C15*MIN(3,Pressupostos_Assumpt!C13)))*(1-Pressupostos_Assumpt!C56),0)</f>
        <v>0</v>
      </c>
      <c r="F14" s="43">
        <f>IF(4=Venda_Resale!$C$27,(Venda_Resale!F7-(Pressupostos_Assumpt!C7-Pressupostos_Assumpt!C15*MIN(4,Pressupostos_Assumpt!C13)))*(1-Pressupostos_Assumpt!C56),0)</f>
        <v>-3681.6192000000005</v>
      </c>
      <c r="G14" s="43">
        <f>IF(5=Venda_Resale!$C$27,(Venda_Resale!G7-(Pressupostos_Assumpt!C7-Pressupostos_Assumpt!C15*MIN(5,Pressupostos_Assumpt!C13)))*(1-Pressupostos_Assumpt!C56),0)</f>
        <v>0</v>
      </c>
      <c r="H14" s="43">
        <f>IF(6=Venda_Resale!$C$27,(Venda_Resale!H7-(Pressupostos_Assumpt!C7-Pressupostos_Assumpt!C15*MIN(6,Pressupostos_Assumpt!C13)))*(1-Pressupostos_Assumpt!C56),0)</f>
        <v>0</v>
      </c>
    </row>
    <row r="15" spans="2:8" x14ac:dyDescent="0.2">
      <c r="B15" s="54" t="s">
        <v>247</v>
      </c>
      <c r="C15" s="55">
        <f t="shared" ref="C15:H15" si="2">C13+C14</f>
        <v>5126.0057954828098</v>
      </c>
      <c r="D15" s="55">
        <f t="shared" si="2"/>
        <v>5820.2204625372824</v>
      </c>
      <c r="E15" s="55">
        <f t="shared" si="2"/>
        <v>6550.0335503100887</v>
      </c>
      <c r="F15" s="55">
        <f t="shared" si="2"/>
        <v>3636.119878536017</v>
      </c>
      <c r="G15" s="55">
        <f t="shared" si="2"/>
        <v>0</v>
      </c>
      <c r="H15" s="55">
        <f t="shared" si="2"/>
        <v>0</v>
      </c>
    </row>
    <row r="17" spans="2:8" x14ac:dyDescent="0.2">
      <c r="B17" s="4" t="s">
        <v>248</v>
      </c>
      <c r="C17" s="5"/>
      <c r="D17" s="5"/>
      <c r="E17" s="5"/>
      <c r="F17" s="5"/>
      <c r="G17" s="5"/>
      <c r="H17" s="5"/>
    </row>
    <row r="18" spans="2:8" x14ac:dyDescent="0.2">
      <c r="B18" s="15" t="s">
        <v>249</v>
      </c>
      <c r="C18" s="43">
        <f>Tesouraria_CashFlow!N17</f>
        <v>12540.778343873248</v>
      </c>
      <c r="D18" s="43">
        <f>D8+D12-12*Financiamento_Loan!$C$8*D6+IF(2=Venda_Resale!$C$27,Venda_Resale!$C$34,0)</f>
        <v>5490.6943379444265</v>
      </c>
      <c r="E18" s="43">
        <f>E8+E12-12*Financiamento_Loan!$C$8*E6+IF(3=Venda_Resale!$C$27,Venda_Resale!$C$34,0)</f>
        <v>5861.1588926657923</v>
      </c>
      <c r="F18" s="43">
        <f>F8+F12-12*Financiamento_Loan!$C$8*F6+IF(4=Venda_Resale!$C$27,Venda_Resale!$C$34,0)</f>
        <v>8652.238201158325</v>
      </c>
      <c r="G18" s="43">
        <f>G8+G12-12*Financiamento_Loan!$C$8*G6+IF(5=Venda_Resale!$C$27,Venda_Resale!$C$34,0)</f>
        <v>0</v>
      </c>
      <c r="H18" s="43">
        <f>H8+H12-12*Financiamento_Loan!$C$8*H6+IF(6=Venda_Resale!$C$27,Venda_Resale!$C$34,0)</f>
        <v>0</v>
      </c>
    </row>
    <row r="19" spans="2:8" x14ac:dyDescent="0.2">
      <c r="B19" s="36" t="s">
        <v>250</v>
      </c>
      <c r="C19" s="48">
        <f>C18</f>
        <v>12540.778343873248</v>
      </c>
      <c r="D19" s="48">
        <f>C19+D18</f>
        <v>18031.472681817675</v>
      </c>
      <c r="E19" s="48">
        <f>D19+E18</f>
        <v>23892.631574483468</v>
      </c>
      <c r="F19" s="48">
        <f>E19+F18</f>
        <v>32544.869775641793</v>
      </c>
      <c r="G19" s="48">
        <f>F19+G18</f>
        <v>32544.869775641793</v>
      </c>
      <c r="H19" s="48">
        <f>G19+H18</f>
        <v>32544.869775641793</v>
      </c>
    </row>
    <row r="21" spans="2:8" ht="18" x14ac:dyDescent="0.2">
      <c r="B21" s="13" t="s">
        <v>251</v>
      </c>
    </row>
    <row r="22" spans="2:8" x14ac:dyDescent="0.2">
      <c r="B22" s="6" t="s">
        <v>252</v>
      </c>
      <c r="C22" s="56">
        <f>Venda_Resale!$C$27</f>
        <v>4</v>
      </c>
    </row>
    <row r="23" spans="2:8" x14ac:dyDescent="0.2">
      <c r="B23" s="6" t="s">
        <v>253</v>
      </c>
      <c r="C23" s="57">
        <f>SUMIF(C6:H6,1,C13:H13)</f>
        <v>24813.998886866197</v>
      </c>
    </row>
    <row r="24" spans="2:8" x14ac:dyDescent="0.2">
      <c r="B24" s="6" t="s">
        <v>254</v>
      </c>
      <c r="C24" s="57">
        <f>INDEX(C14:H14,Venda_Resale!$C$27)</f>
        <v>-3681.6192000000005</v>
      </c>
    </row>
    <row r="25" spans="2:8" x14ac:dyDescent="0.2">
      <c r="B25" s="6" t="s">
        <v>255</v>
      </c>
      <c r="C25" s="55">
        <f>Venda_Resale!$C$36</f>
        <v>21132.379686866196</v>
      </c>
    </row>
    <row r="26" spans="2:8" x14ac:dyDescent="0.2">
      <c r="B26" s="6" t="s">
        <v>256</v>
      </c>
      <c r="C26" s="57">
        <f>INDEX(C19:H19,Venda_Resale!$C$27)</f>
        <v>32544.869775641793</v>
      </c>
    </row>
    <row r="27" spans="2:8" x14ac:dyDescent="0.2">
      <c r="B27" s="6" t="s">
        <v>257</v>
      </c>
      <c r="C27" s="57">
        <f>INDEX(Venda_Resale!C42:I42,Venda_Resale!$C$27)</f>
        <v>49652.810110345854</v>
      </c>
    </row>
    <row r="28" spans="2:8" x14ac:dyDescent="0.2">
      <c r="B28" s="6" t="s">
        <v>258</v>
      </c>
      <c r="C28" s="57">
        <f>INDEX(Venda_Resale!C43:I43,Venda_Resale!$C$27)</f>
        <v>19617.12</v>
      </c>
    </row>
    <row r="29" spans="2:8" x14ac:dyDescent="0.2">
      <c r="B29" s="6" t="s">
        <v>259</v>
      </c>
      <c r="C29" s="57">
        <f>INDEX(Venda_Resale!C44:I44,Venda_Resale!$C$27)</f>
        <v>-48838.811223479657</v>
      </c>
    </row>
    <row r="30" spans="2:8" x14ac:dyDescent="0.2">
      <c r="B30" s="6" t="s">
        <v>260</v>
      </c>
      <c r="C30" s="55">
        <f>INDEX(Venda_Resale!C45:I45,Venda_Resale!$C$27)</f>
        <v>20431.118886866199</v>
      </c>
    </row>
    <row r="32" spans="2:8" x14ac:dyDescent="0.2">
      <c r="B32" s="12" t="s">
        <v>261</v>
      </c>
    </row>
    <row r="33" spans="2:9" x14ac:dyDescent="0.2">
      <c r="B33" s="12" t="s">
        <v>262</v>
      </c>
    </row>
    <row r="35" spans="2:9" ht="18" x14ac:dyDescent="0.2">
      <c r="B35" s="13" t="s">
        <v>263</v>
      </c>
    </row>
    <row r="36" spans="2:9" x14ac:dyDescent="0.2">
      <c r="B36" s="34" t="s">
        <v>264</v>
      </c>
      <c r="C36" s="35" t="s">
        <v>265</v>
      </c>
      <c r="D36" s="35" t="s">
        <v>235</v>
      </c>
      <c r="E36" s="35" t="s">
        <v>236</v>
      </c>
      <c r="F36" s="35" t="s">
        <v>237</v>
      </c>
      <c r="G36" s="35" t="s">
        <v>238</v>
      </c>
      <c r="H36" s="35" t="s">
        <v>239</v>
      </c>
    </row>
    <row r="37" spans="2:9" x14ac:dyDescent="0.2">
      <c r="B37" s="58" t="s">
        <v>266</v>
      </c>
      <c r="C37" s="7">
        <f t="shared" ref="C37:H37" si="3">C19</f>
        <v>12540.778343873248</v>
      </c>
      <c r="D37" s="7">
        <f t="shared" si="3"/>
        <v>18031.472681817675</v>
      </c>
      <c r="E37" s="7">
        <f t="shared" si="3"/>
        <v>23892.631574483468</v>
      </c>
      <c r="F37" s="7">
        <f t="shared" si="3"/>
        <v>32544.869775641793</v>
      </c>
      <c r="G37" s="7">
        <f t="shared" si="3"/>
        <v>32544.869775641793</v>
      </c>
      <c r="H37" s="7">
        <f t="shared" si="3"/>
        <v>32544.869775641793</v>
      </c>
    </row>
    <row r="38" spans="2:9" x14ac:dyDescent="0.2">
      <c r="B38" s="6" t="s">
        <v>267</v>
      </c>
      <c r="C38" s="59">
        <f>C37/Pressupostos_Assumpt!C51</f>
        <v>1.0450648619894374</v>
      </c>
      <c r="D38" s="59">
        <f>D37/Pressupostos_Assumpt!C51</f>
        <v>1.5026227234848062</v>
      </c>
      <c r="E38" s="59">
        <f>E37/Pressupostos_Assumpt!C51</f>
        <v>1.9910526312069556</v>
      </c>
      <c r="F38" s="59">
        <f>F37/Pressupostos_Assumpt!C51</f>
        <v>2.7120724813034829</v>
      </c>
      <c r="G38" s="59">
        <f>G37/Pressupostos_Assumpt!C51</f>
        <v>2.7120724813034829</v>
      </c>
      <c r="H38" s="59">
        <f>H37/Pressupostos_Assumpt!C51</f>
        <v>2.7120724813034829</v>
      </c>
    </row>
    <row r="39" spans="2:9" x14ac:dyDescent="0.2">
      <c r="B39" s="36" t="s">
        <v>268</v>
      </c>
      <c r="C39" s="60">
        <f>(C37-Pressupostos_Assumpt!C51)/Pressupostos_Assumpt!C51</f>
        <v>4.5064861989437308E-2</v>
      </c>
      <c r="D39" s="60">
        <f>(D37-Pressupostos_Assumpt!C51)/Pressupostos_Assumpt!C51</f>
        <v>0.5026227234848063</v>
      </c>
      <c r="E39" s="60">
        <f>(E37-Pressupostos_Assumpt!C51)/Pressupostos_Assumpt!C51</f>
        <v>0.99105263120695564</v>
      </c>
      <c r="F39" s="60">
        <f>(F37-Pressupostos_Assumpt!C51)/Pressupostos_Assumpt!C51</f>
        <v>1.7120724813034827</v>
      </c>
      <c r="G39" s="60">
        <f>(G37-Pressupostos_Assumpt!C51)/Pressupostos_Assumpt!C51</f>
        <v>1.7120724813034827</v>
      </c>
      <c r="H39" s="60">
        <f>(H37-Pressupostos_Assumpt!C51)/Pressupostos_Assumpt!C51</f>
        <v>1.7120724813034827</v>
      </c>
    </row>
    <row r="41" spans="2:9" x14ac:dyDescent="0.2">
      <c r="B41" s="24" t="s">
        <v>269</v>
      </c>
    </row>
    <row r="42" spans="2:9" x14ac:dyDescent="0.2">
      <c r="B42" s="8" t="s">
        <v>270</v>
      </c>
      <c r="C42" s="17">
        <v>0</v>
      </c>
      <c r="D42" s="17">
        <v>1</v>
      </c>
      <c r="E42" s="17">
        <v>2</v>
      </c>
      <c r="F42" s="17">
        <v>3</v>
      </c>
      <c r="G42" s="17">
        <v>4</v>
      </c>
      <c r="H42" s="17">
        <v>5</v>
      </c>
      <c r="I42" s="17">
        <v>6</v>
      </c>
    </row>
    <row r="43" spans="2:9" x14ac:dyDescent="0.2">
      <c r="B43" s="6" t="s">
        <v>271</v>
      </c>
      <c r="C43" s="43">
        <f>-Pressupostos_Assumpt!C51</f>
        <v>-12000</v>
      </c>
      <c r="D43" s="43">
        <f>C37-Pressupostos_Assumpt!C51</f>
        <v>540.77834387324765</v>
      </c>
      <c r="E43" s="43">
        <f>D37-C37</f>
        <v>5490.6943379444274</v>
      </c>
      <c r="F43" s="43">
        <f>E37-D37</f>
        <v>5861.1588926657932</v>
      </c>
      <c r="G43" s="43">
        <f>F37-E37</f>
        <v>8652.238201158325</v>
      </c>
      <c r="H43" s="43">
        <f>G37-F37</f>
        <v>0</v>
      </c>
      <c r="I43" s="43">
        <f>H37-G37</f>
        <v>0</v>
      </c>
    </row>
    <row r="45" spans="2:9" x14ac:dyDescent="0.2">
      <c r="B45" s="6" t="s">
        <v>272</v>
      </c>
      <c r="C45" s="57">
        <f>Pressupostos_Assumpt!C51</f>
        <v>12000</v>
      </c>
    </row>
    <row r="46" spans="2:9" x14ac:dyDescent="0.2">
      <c r="B46" s="6" t="s">
        <v>273</v>
      </c>
      <c r="C46" s="57">
        <f>INDEX(C37:H37,Venda_Resale!$C$27)</f>
        <v>32544.869775641793</v>
      </c>
    </row>
    <row r="47" spans="2:9" x14ac:dyDescent="0.2">
      <c r="B47" s="6" t="s">
        <v>274</v>
      </c>
      <c r="C47" s="55">
        <f>INDEX(C37:H37,Venda_Resale!$C$27)-Pressupostos_Assumpt!C51</f>
        <v>20544.869775641793</v>
      </c>
    </row>
    <row r="48" spans="2:9" x14ac:dyDescent="0.2">
      <c r="B48" s="6" t="s">
        <v>275</v>
      </c>
      <c r="C48" s="61">
        <f>INDEX(C37:H37,Venda_Resale!$C$27)/Pressupostos_Assumpt!C51</f>
        <v>2.7120724813034829</v>
      </c>
    </row>
    <row r="49" spans="2:3" x14ac:dyDescent="0.2">
      <c r="B49" s="6" t="s">
        <v>276</v>
      </c>
      <c r="C49" s="62">
        <f>(INDEX(C37:H37,Venda_Resale!$C$27)-Pressupostos_Assumpt!C51)/Pressupostos_Assumpt!C51</f>
        <v>1.7120724813034827</v>
      </c>
    </row>
    <row r="50" spans="2:3" x14ac:dyDescent="0.2">
      <c r="B50" s="6" t="s">
        <v>277</v>
      </c>
      <c r="C50" s="62">
        <f>IRR(C43:I43,0.1)</f>
        <v>0.19415645447006424</v>
      </c>
    </row>
    <row r="51" spans="2:3" x14ac:dyDescent="0.2">
      <c r="B51" s="6" t="s">
        <v>278</v>
      </c>
      <c r="C51" s="62">
        <f>(INDEX(C37:H37,Venda_Resale!$C$27)/Pressupostos_Assumpt!C51)^(1/Venda_Resale!$C$27)-1</f>
        <v>0.28329151574426992</v>
      </c>
    </row>
    <row r="53" spans="2:3" x14ac:dyDescent="0.2">
      <c r="B53" s="12" t="s">
        <v>279</v>
      </c>
    </row>
    <row r="54" spans="2:3" x14ac:dyDescent="0.2">
      <c r="B54" s="12" t="s">
        <v>280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17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34" customWidth="1"/>
    <col min="3" max="14" width="9" customWidth="1"/>
    <col min="15" max="15" width="12" customWidth="1"/>
  </cols>
  <sheetData>
    <row r="2" spans="2:15" ht="18" x14ac:dyDescent="0.2">
      <c r="B2" s="13" t="s">
        <v>281</v>
      </c>
    </row>
    <row r="3" spans="2:15" x14ac:dyDescent="0.2">
      <c r="B3" s="3" t="s">
        <v>282</v>
      </c>
    </row>
    <row r="5" spans="2:15" x14ac:dyDescent="0.2">
      <c r="B5" s="34" t="s">
        <v>173</v>
      </c>
      <c r="C5" s="35" t="s">
        <v>174</v>
      </c>
      <c r="D5" s="35" t="s">
        <v>175</v>
      </c>
      <c r="E5" s="35" t="s">
        <v>176</v>
      </c>
      <c r="F5" s="35" t="s">
        <v>177</v>
      </c>
      <c r="G5" s="35" t="s">
        <v>178</v>
      </c>
      <c r="H5" s="35" t="s">
        <v>179</v>
      </c>
      <c r="I5" s="35" t="s">
        <v>180</v>
      </c>
      <c r="J5" s="35" t="s">
        <v>181</v>
      </c>
      <c r="K5" s="35" t="s">
        <v>182</v>
      </c>
      <c r="L5" s="35" t="s">
        <v>183</v>
      </c>
      <c r="M5" s="35" t="s">
        <v>184</v>
      </c>
      <c r="N5" s="35" t="s">
        <v>185</v>
      </c>
      <c r="O5" s="35" t="s">
        <v>186</v>
      </c>
    </row>
    <row r="6" spans="2:15" x14ac:dyDescent="0.2">
      <c r="B6" s="18" t="s">
        <v>283</v>
      </c>
      <c r="C6" s="63">
        <f>Receita_Revenue!C14*Pressupostos_Assumpt!C54</f>
        <v>106.82672000000001</v>
      </c>
      <c r="D6" s="63">
        <f>Receita_Revenue!D14*Pressupostos_Assumpt!C54</f>
        <v>95.775680000000008</v>
      </c>
      <c r="E6" s="63">
        <f>Receita_Revenue!E14*Pressupostos_Assumpt!C54</f>
        <v>106.82672000000001</v>
      </c>
      <c r="F6" s="63">
        <f>Receita_Revenue!F14*Pressupostos_Assumpt!C54</f>
        <v>378.67200000000003</v>
      </c>
      <c r="G6" s="63">
        <f>Receita_Revenue!G14*Pressupostos_Assumpt!C54</f>
        <v>392.19600000000003</v>
      </c>
      <c r="H6" s="63">
        <f>Receita_Revenue!H14*Pressupostos_Assumpt!C54</f>
        <v>923.23840000000018</v>
      </c>
      <c r="I6" s="63">
        <f>Receita_Revenue!I14*Pressupostos_Assumpt!C54</f>
        <v>956.21120000000019</v>
      </c>
      <c r="J6" s="63">
        <f>Receita_Revenue!J14*Pressupostos_Assumpt!C54</f>
        <v>956.21120000000019</v>
      </c>
      <c r="K6" s="63">
        <f>Receita_Revenue!K14*Pressupostos_Assumpt!C54</f>
        <v>923.23840000000018</v>
      </c>
      <c r="L6" s="63">
        <f>Receita_Revenue!L14*Pressupostos_Assumpt!C54</f>
        <v>392.19600000000003</v>
      </c>
      <c r="M6" s="63">
        <f>Receita_Revenue!M14*Pressupostos_Assumpt!C54</f>
        <v>103.14304000000001</v>
      </c>
      <c r="N6" s="63">
        <f>Receita_Revenue!N14*Pressupostos_Assumpt!C54</f>
        <v>106.82672000000001</v>
      </c>
      <c r="O6" s="64">
        <f>SUM(C6:N6)</f>
        <v>5441.3620800000008</v>
      </c>
    </row>
    <row r="7" spans="2:15" x14ac:dyDescent="0.2">
      <c r="B7" s="18" t="s">
        <v>284</v>
      </c>
      <c r="C7" s="63">
        <f>(Custos_Costs!C7+Custos_Costs!C8+Custos_Costs!C12+Custos_Costs!C13+Custos_Costs!C19+Custos_Costs!C20)*Pressupostos_Assumpt!C54*Pressupostos_Assumpt!C55</f>
        <v>94.80667466666668</v>
      </c>
      <c r="D7" s="63">
        <f>(Custos_Costs!D7+Custos_Costs!D8+Custos_Costs!D12+Custos_Costs!D13+Custos_Costs!D19+Custos_Costs!D20)*Pressupostos_Assumpt!C54*Pressupostos_Assumpt!C55</f>
        <v>92.137018666666663</v>
      </c>
      <c r="E7" s="63">
        <f>(Custos_Costs!E7+Custos_Costs!E8+Custos_Costs!E12+Custos_Costs!E13+Custos_Costs!E19+Custos_Costs!E20)*Pressupostos_Assumpt!C54*Pressupostos_Assumpt!C55</f>
        <v>94.80667466666668</v>
      </c>
      <c r="F7" s="63">
        <f>(Custos_Costs!F7+Custos_Costs!F8+Custos_Costs!F12+Custos_Costs!F13+Custos_Costs!F19+Custos_Costs!F20)*Pressupostos_Assumpt!C54*Pressupostos_Assumpt!C55</f>
        <v>147.26746666666668</v>
      </c>
      <c r="G7" s="63">
        <f>(Custos_Costs!G7+Custos_Costs!G8+Custos_Costs!G12+Custos_Costs!G13+Custos_Costs!G19+Custos_Costs!G20)*Pressupostos_Assumpt!C54*Pressupostos_Assumpt!C55</f>
        <v>150.06273333333334</v>
      </c>
      <c r="H7" s="63">
        <f>(Custos_Costs!H7+Custos_Costs!H8+Custos_Costs!H12+Custos_Costs!H13+Custos_Costs!H19+Custos_Costs!H20)*Pressupostos_Assumpt!C54*Pressupostos_Assumpt!C55</f>
        <v>241.83242666666672</v>
      </c>
      <c r="I7" s="63">
        <f>(Custos_Costs!I7+Custos_Costs!I8+Custos_Costs!I12+Custos_Costs!I13+Custos_Costs!I19+Custos_Costs!I20)*Pressupostos_Assumpt!C54*Pressupostos_Assumpt!C55</f>
        <v>248.00501333333335</v>
      </c>
      <c r="J7" s="63">
        <f>(Custos_Costs!J7+Custos_Costs!J8+Custos_Costs!J12+Custos_Costs!J13+Custos_Costs!J19+Custos_Costs!J20)*Pressupostos_Assumpt!C54*Pressupostos_Assumpt!C55</f>
        <v>248.00501333333335</v>
      </c>
      <c r="K7" s="63">
        <f>(Custos_Costs!K7+Custos_Costs!K8+Custos_Costs!K12+Custos_Costs!K13+Custos_Costs!K19+Custos_Costs!K20)*Pressupostos_Assumpt!C54*Pressupostos_Assumpt!C55</f>
        <v>241.83242666666672</v>
      </c>
      <c r="L7" s="63">
        <f>(Custos_Costs!L7+Custos_Costs!L8+Custos_Costs!L12+Custos_Costs!L13+Custos_Costs!L19+Custos_Costs!L20)*Pressupostos_Assumpt!C54*Pressupostos_Assumpt!C55</f>
        <v>150.06273333333334</v>
      </c>
      <c r="M7" s="63">
        <f>(Custos_Costs!M7+Custos_Costs!M8+Custos_Costs!M12+Custos_Costs!M13+Custos_Costs!M19+Custos_Costs!M20)*Pressupostos_Assumpt!C54*Pressupostos_Assumpt!C55</f>
        <v>93.916789333333341</v>
      </c>
      <c r="N7" s="63">
        <f>(Custos_Costs!N7+Custos_Costs!N8+Custos_Costs!N12+Custos_Costs!N13+Custos_Costs!N19+Custos_Costs!N20)*Pressupostos_Assumpt!C54*Pressupostos_Assumpt!C55</f>
        <v>94.80667466666668</v>
      </c>
      <c r="O7" s="64">
        <f>SUM(C7:N7)</f>
        <v>1897.5416453333337</v>
      </c>
    </row>
    <row r="8" spans="2:15" x14ac:dyDescent="0.2">
      <c r="B8" s="65" t="s">
        <v>285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7"/>
    </row>
    <row r="9" spans="2:15" x14ac:dyDescent="0.2">
      <c r="B9" s="15" t="s">
        <v>286</v>
      </c>
      <c r="C9" s="43">
        <f>Pressupostos_Assumpt!C51</f>
        <v>12000</v>
      </c>
      <c r="D9" s="43" t="s">
        <v>287</v>
      </c>
      <c r="E9" s="43" t="s">
        <v>287</v>
      </c>
      <c r="F9" s="43" t="s">
        <v>287</v>
      </c>
      <c r="G9" s="43" t="s">
        <v>287</v>
      </c>
      <c r="H9" s="43" t="s">
        <v>287</v>
      </c>
      <c r="I9" s="43" t="s">
        <v>287</v>
      </c>
      <c r="J9" s="43" t="s">
        <v>287</v>
      </c>
      <c r="K9" s="43" t="s">
        <v>287</v>
      </c>
      <c r="L9" s="43" t="s">
        <v>287</v>
      </c>
      <c r="M9" s="43" t="s">
        <v>287</v>
      </c>
      <c r="N9" s="43" t="s">
        <v>287</v>
      </c>
      <c r="O9" s="64">
        <f t="shared" ref="O9:O16" si="0">SUM(C9:N9)</f>
        <v>12000</v>
      </c>
    </row>
    <row r="10" spans="2:15" ht="28" x14ac:dyDescent="0.2">
      <c r="B10" s="15" t="s">
        <v>288</v>
      </c>
      <c r="C10" s="43">
        <f>Receita_Revenue!C14*(1+Pressupostos_Assumpt!C54)</f>
        <v>571.29071999999996</v>
      </c>
      <c r="D10" s="43">
        <f>Receita_Revenue!D14*(1+Pressupostos_Assumpt!C54)</f>
        <v>512.19168000000002</v>
      </c>
      <c r="E10" s="43">
        <f>Receita_Revenue!E14*(1+Pressupostos_Assumpt!C54)</f>
        <v>571.29071999999996</v>
      </c>
      <c r="F10" s="43">
        <f>Receita_Revenue!F14*(1+Pressupostos_Assumpt!C54)</f>
        <v>2025.0720000000001</v>
      </c>
      <c r="G10" s="43">
        <f>Receita_Revenue!G14*(1+Pressupostos_Assumpt!C54)</f>
        <v>2097.3960000000002</v>
      </c>
      <c r="H10" s="43">
        <f>Receita_Revenue!H14*(1+Pressupostos_Assumpt!C54)</f>
        <v>4937.3184000000001</v>
      </c>
      <c r="I10" s="43">
        <f>Receita_Revenue!I14*(1+Pressupostos_Assumpt!C54)</f>
        <v>5113.6512000000002</v>
      </c>
      <c r="J10" s="43">
        <f>Receita_Revenue!J14*(1+Pressupostos_Assumpt!C54)</f>
        <v>5113.6512000000002</v>
      </c>
      <c r="K10" s="43">
        <f>Receita_Revenue!K14*(1+Pressupostos_Assumpt!C54)</f>
        <v>4937.3184000000001</v>
      </c>
      <c r="L10" s="43">
        <f>Receita_Revenue!L14*(1+Pressupostos_Assumpt!C54)</f>
        <v>2097.3960000000002</v>
      </c>
      <c r="M10" s="43">
        <f>Receita_Revenue!M14*(1+Pressupostos_Assumpt!C54)</f>
        <v>551.59104000000002</v>
      </c>
      <c r="N10" s="43">
        <f>Receita_Revenue!N14*(1+Pressupostos_Assumpt!C54)</f>
        <v>571.29071999999996</v>
      </c>
      <c r="O10" s="64">
        <f t="shared" si="0"/>
        <v>29099.458080000004</v>
      </c>
    </row>
    <row r="11" spans="2:15" ht="28" x14ac:dyDescent="0.2">
      <c r="B11" s="15" t="s">
        <v>289</v>
      </c>
      <c r="C11" s="43">
        <f>-((Custos_Costs!C9+Custos_Costs!C12+Custos_Costs!C13+Custos_Costs!C19+Custos_Costs!C20)*(1+Pressupostos_Assumpt!C54)+Custos_Costs!C25*0+(Pressupostos_Assumpt!C36*Pressupostos_Assumpt!C50+Pressupostos_Assumpt!C39/12*Pressupostos_Assumpt!C50+Pressupostos_Assumpt!C40/12*Pressupostos_Assumpt!C50+Pressupostos_Assumpt!C41/12*Pressupostos_Assumpt!C50+Pressupostos_Assumpt!C46))</f>
        <v>-721.1762746666667</v>
      </c>
      <c r="D11" s="43">
        <f>-((Custos_Costs!D9+Custos_Costs!D12+Custos_Costs!D13+Custos_Costs!D19+Custos_Costs!D20)*(1+Pressupostos_Assumpt!C54)+Custos_Costs!D25*0+(Pressupostos_Assumpt!C36*Pressupostos_Assumpt!C50+Pressupostos_Assumpt!C39/12*Pressupostos_Assumpt!C50+Pressupostos_Assumpt!C40/12*Pressupostos_Assumpt!C50+Pressupostos_Assumpt!C41/12*Pressupostos_Assumpt!C50+Pressupostos_Assumpt!C46))</f>
        <v>-706.89941866666663</v>
      </c>
      <c r="E11" s="43">
        <f>-((Custos_Costs!E9+Custos_Costs!E12+Custos_Costs!E13+Custos_Costs!E19+Custos_Costs!E20)*(1+Pressupostos_Assumpt!C54)+Custos_Costs!E25*0+(Pressupostos_Assumpt!C36*Pressupostos_Assumpt!C50+Pressupostos_Assumpt!C39/12*Pressupostos_Assumpt!C50+Pressupostos_Assumpt!C40/12*Pressupostos_Assumpt!C50+Pressupostos_Assumpt!C41/12*Pressupostos_Assumpt!C50+Pressupostos_Assumpt!C46))</f>
        <v>-721.1762746666667</v>
      </c>
      <c r="F11" s="43">
        <f>-((Custos_Costs!F9+Custos_Costs!F12+Custos_Costs!F13+Custos_Costs!F19+Custos_Costs!F20)*(1+Pressupostos_Assumpt!C54)+Custos_Costs!F25*0+(Pressupostos_Assumpt!C36*Pressupostos_Assumpt!C50+Pressupostos_Assumpt!C39/12*Pressupostos_Assumpt!C50+Pressupostos_Assumpt!C40/12*Pressupostos_Assumpt!C50+Pressupostos_Assumpt!C41/12*Pressupostos_Assumpt!C50+Pressupostos_Assumpt!C46))</f>
        <v>-1001.7274666666667</v>
      </c>
      <c r="G11" s="43">
        <f>-((Custos_Costs!G9+Custos_Costs!G12+Custos_Costs!G13+Custos_Costs!G19+Custos_Costs!G20)*(1+Pressupostos_Assumpt!C54)+Custos_Costs!G25*0+(Pressupostos_Assumpt!C36*Pressupostos_Assumpt!C50+Pressupostos_Assumpt!C39/12*Pressupostos_Assumpt!C50+Pressupostos_Assumpt!C40/12*Pressupostos_Assumpt!C50+Pressupostos_Assumpt!C41/12*Pressupostos_Assumpt!C50+Pressupostos_Assumpt!C46))</f>
        <v>-1016.6760666666667</v>
      </c>
      <c r="H11" s="43">
        <f>-((Custos_Costs!H9+Custos_Costs!H12+Custos_Costs!H13+Custos_Costs!H19+Custos_Costs!H20)*(1+Pressupostos_Assumpt!C54)+Custos_Costs!H25*0+(Pressupostos_Assumpt!C36*Pressupostos_Assumpt!C50+Pressupostos_Assumpt!C39/12*Pressupostos_Assumpt!C50+Pressupostos_Assumpt!C40/12*Pressupostos_Assumpt!C50+Pressupostos_Assumpt!C41/12*Pressupostos_Assumpt!C50+Pressupostos_Assumpt!C46))</f>
        <v>-1507.4444266666669</v>
      </c>
      <c r="I11" s="43">
        <f>-((Custos_Costs!I9+Custos_Costs!I12+Custos_Costs!I13+Custos_Costs!I19+Custos_Costs!I20)*(1+Pressupostos_Assumpt!C54)+Custos_Costs!I25*0+(Pressupostos_Assumpt!C36*Pressupostos_Assumpt!C50+Pressupostos_Assumpt!C39/12*Pressupostos_Assumpt!C50+Pressupostos_Assumpt!C40/12*Pressupostos_Assumpt!C50+Pressupostos_Assumpt!C41/12*Pressupostos_Assumpt!C50+Pressupostos_Assumpt!C46))</f>
        <v>-1540.4543466666669</v>
      </c>
      <c r="J11" s="43">
        <f>-((Custos_Costs!J9+Custos_Costs!J12+Custos_Costs!J13+Custos_Costs!J19+Custos_Costs!J20)*(1+Pressupostos_Assumpt!C54)+Custos_Costs!J25*0+(Pressupostos_Assumpt!C36*Pressupostos_Assumpt!C50+Pressupostos_Assumpt!C39/12*Pressupostos_Assumpt!C50+Pressupostos_Assumpt!C40/12*Pressupostos_Assumpt!C50+Pressupostos_Assumpt!C41/12*Pressupostos_Assumpt!C50+Pressupostos_Assumpt!C46))</f>
        <v>-1540.4543466666669</v>
      </c>
      <c r="K11" s="43">
        <f>-((Custos_Costs!K9+Custos_Costs!K12+Custos_Costs!K13+Custos_Costs!K19+Custos_Costs!K20)*(1+Pressupostos_Assumpt!C54)+Custos_Costs!K25*0+(Pressupostos_Assumpt!C36*Pressupostos_Assumpt!C50+Pressupostos_Assumpt!C39/12*Pressupostos_Assumpt!C50+Pressupostos_Assumpt!C40/12*Pressupostos_Assumpt!C50+Pressupostos_Assumpt!C41/12*Pressupostos_Assumpt!C50+Pressupostos_Assumpt!C46))</f>
        <v>-1507.4444266666669</v>
      </c>
      <c r="L11" s="43">
        <f>-((Custos_Costs!L9+Custos_Costs!L12+Custos_Costs!L13+Custos_Costs!L19+Custos_Costs!L20)*(1+Pressupostos_Assumpt!C54)+Custos_Costs!L25*0+(Pressupostos_Assumpt!C36*Pressupostos_Assumpt!C50+Pressupostos_Assumpt!C39/12*Pressupostos_Assumpt!C50+Pressupostos_Assumpt!C40/12*Pressupostos_Assumpt!C50+Pressupostos_Assumpt!C41/12*Pressupostos_Assumpt!C50+Pressupostos_Assumpt!C46))</f>
        <v>-1016.6760666666667</v>
      </c>
      <c r="M11" s="43">
        <f>-((Custos_Costs!M9+Custos_Costs!M12+Custos_Costs!M13+Custos_Costs!M19+Custos_Costs!M20)*(1+Pressupostos_Assumpt!C54)+Custos_Costs!M25*0+(Pressupostos_Assumpt!C36*Pressupostos_Assumpt!C50+Pressupostos_Assumpt!C39/12*Pressupostos_Assumpt!C50+Pressupostos_Assumpt!C40/12*Pressupostos_Assumpt!C50+Pressupostos_Assumpt!C41/12*Pressupostos_Assumpt!C50+Pressupostos_Assumpt!C46))</f>
        <v>-716.41732266666668</v>
      </c>
      <c r="N11" s="43">
        <f>-((Custos_Costs!N9+Custos_Costs!N12+Custos_Costs!N13+Custos_Costs!N19+Custos_Costs!N20)*(1+Pressupostos_Assumpt!C54)+Custos_Costs!N25*0+(Pressupostos_Assumpt!C36*Pressupostos_Assumpt!C50+Pressupostos_Assumpt!C39/12*Pressupostos_Assumpt!C50+Pressupostos_Assumpt!C40/12*Pressupostos_Assumpt!C50+Pressupostos_Assumpt!C41/12*Pressupostos_Assumpt!C50+Pressupostos_Assumpt!C46))</f>
        <v>-721.1762746666667</v>
      </c>
      <c r="O11" s="64">
        <f t="shared" si="0"/>
        <v>-12717.722712000001</v>
      </c>
    </row>
    <row r="12" spans="2:15" x14ac:dyDescent="0.2">
      <c r="B12" s="15" t="s">
        <v>290</v>
      </c>
      <c r="C12" s="43">
        <f>-Pressupostos_Assumpt!C10*Pressupostos_Assumpt!C50</f>
        <v>-4000</v>
      </c>
      <c r="D12" s="43" t="s">
        <v>287</v>
      </c>
      <c r="E12" s="43" t="s">
        <v>287</v>
      </c>
      <c r="F12" s="43" t="s">
        <v>287</v>
      </c>
      <c r="G12" s="43" t="s">
        <v>287</v>
      </c>
      <c r="H12" s="43" t="s">
        <v>287</v>
      </c>
      <c r="I12" s="43" t="s">
        <v>287</v>
      </c>
      <c r="J12" s="43" t="s">
        <v>287</v>
      </c>
      <c r="K12" s="43" t="s">
        <v>287</v>
      </c>
      <c r="L12" s="43" t="s">
        <v>287</v>
      </c>
      <c r="M12" s="43" t="s">
        <v>287</v>
      </c>
      <c r="N12" s="43" t="s">
        <v>287</v>
      </c>
      <c r="O12" s="64">
        <f t="shared" si="0"/>
        <v>-4000</v>
      </c>
    </row>
    <row r="13" spans="2:15" x14ac:dyDescent="0.2">
      <c r="B13" s="15" t="s">
        <v>291</v>
      </c>
      <c r="C13" s="43">
        <f>-Financiamento_Loan!D11*Pressupostos_Assumpt!C50-Financiamento_Loan!E11*Pressupostos_Assumpt!C50</f>
        <v>-561.10371849610351</v>
      </c>
      <c r="D13" s="43">
        <f>-Financiamento_Loan!D12*Pressupostos_Assumpt!C50-Financiamento_Loan!E12*Pressupostos_Assumpt!C50</f>
        <v>-561.10371849610351</v>
      </c>
      <c r="E13" s="43">
        <f>-Financiamento_Loan!D13*Pressupostos_Assumpt!C50-Financiamento_Loan!E13*Pressupostos_Assumpt!C50</f>
        <v>-561.10371849610351</v>
      </c>
      <c r="F13" s="43">
        <f>-Financiamento_Loan!D14*Pressupostos_Assumpt!C50-Financiamento_Loan!E14*Pressupostos_Assumpt!C50</f>
        <v>-561.10371849610351</v>
      </c>
      <c r="G13" s="43">
        <f>-Financiamento_Loan!D15*Pressupostos_Assumpt!C50-Financiamento_Loan!E15*Pressupostos_Assumpt!C50</f>
        <v>-561.10371849610351</v>
      </c>
      <c r="H13" s="43">
        <f>-Financiamento_Loan!D16*Pressupostos_Assumpt!C50-Financiamento_Loan!E16*Pressupostos_Assumpt!C50</f>
        <v>-561.10371849610351</v>
      </c>
      <c r="I13" s="43">
        <f>-Financiamento_Loan!D17*Pressupostos_Assumpt!C50-Financiamento_Loan!E17*Pressupostos_Assumpt!C50</f>
        <v>-561.10371849610351</v>
      </c>
      <c r="J13" s="43">
        <f>-Financiamento_Loan!D18*Pressupostos_Assumpt!C50-Financiamento_Loan!E18*Pressupostos_Assumpt!C50</f>
        <v>-561.10371849610351</v>
      </c>
      <c r="K13" s="43">
        <f>-Financiamento_Loan!D19*Pressupostos_Assumpt!C50-Financiamento_Loan!E19*Pressupostos_Assumpt!C50</f>
        <v>-561.10371849610351</v>
      </c>
      <c r="L13" s="43">
        <f>-Financiamento_Loan!D20*Pressupostos_Assumpt!C50-Financiamento_Loan!E20*Pressupostos_Assumpt!C50</f>
        <v>-561.10371849610351</v>
      </c>
      <c r="M13" s="43">
        <f>-Financiamento_Loan!D21*Pressupostos_Assumpt!C50-Financiamento_Loan!E21*Pressupostos_Assumpt!C50</f>
        <v>-561.10371849610351</v>
      </c>
      <c r="N13" s="43">
        <f>-Financiamento_Loan!D22*Pressupostos_Assumpt!C50-Financiamento_Loan!E22*Pressupostos_Assumpt!C50</f>
        <v>-561.10371849610351</v>
      </c>
      <c r="O13" s="64">
        <f t="shared" si="0"/>
        <v>-6733.2446219532403</v>
      </c>
    </row>
    <row r="14" spans="2:15" x14ac:dyDescent="0.2">
      <c r="B14" s="15" t="s">
        <v>292</v>
      </c>
      <c r="C14" s="43" t="s">
        <v>287</v>
      </c>
      <c r="D14" s="43" t="s">
        <v>287</v>
      </c>
      <c r="E14" s="43">
        <f>-(SUM(C6:E6)-SUM(C7:E7))</f>
        <v>-27.678752000000031</v>
      </c>
      <c r="F14" s="43" t="s">
        <v>287</v>
      </c>
      <c r="G14" s="43" t="s">
        <v>287</v>
      </c>
      <c r="H14" s="43">
        <f>-(SUM(F6:H6)-SUM(F7:H7))</f>
        <v>-1154.9437733333334</v>
      </c>
      <c r="I14" s="43" t="s">
        <v>287</v>
      </c>
      <c r="J14" s="43" t="s">
        <v>287</v>
      </c>
      <c r="K14" s="43">
        <f>-(SUM(I6:K6)-SUM(I7:K7))</f>
        <v>-2097.8183466666669</v>
      </c>
      <c r="L14" s="43" t="s">
        <v>287</v>
      </c>
      <c r="M14" s="43" t="s">
        <v>287</v>
      </c>
      <c r="N14" s="43">
        <f>-(SUM(L6:N6)-SUM(L7:N7))</f>
        <v>-263.37956266666674</v>
      </c>
      <c r="O14" s="64">
        <f t="shared" si="0"/>
        <v>-3543.8204346666671</v>
      </c>
    </row>
    <row r="15" spans="2:15" x14ac:dyDescent="0.2">
      <c r="B15" s="15" t="s">
        <v>293</v>
      </c>
      <c r="C15" s="43" t="s">
        <v>287</v>
      </c>
      <c r="D15" s="43" t="s">
        <v>287</v>
      </c>
      <c r="E15" s="43" t="s">
        <v>287</v>
      </c>
      <c r="F15" s="43" t="s">
        <v>287</v>
      </c>
      <c r="G15" s="43" t="s">
        <v>287</v>
      </c>
      <c r="H15" s="43" t="s">
        <v>287</v>
      </c>
      <c r="I15" s="43" t="s">
        <v>287</v>
      </c>
      <c r="J15" s="43" t="s">
        <v>287</v>
      </c>
      <c r="K15" s="43" t="s">
        <v>287</v>
      </c>
      <c r="L15" s="43" t="s">
        <v>287</v>
      </c>
      <c r="M15" s="43" t="s">
        <v>287</v>
      </c>
      <c r="N15" s="43">
        <f>DRE_PL!O16</f>
        <v>-1563.8919675068453</v>
      </c>
      <c r="O15" s="64">
        <f t="shared" si="0"/>
        <v>-1563.8919675068453</v>
      </c>
    </row>
    <row r="16" spans="2:15" x14ac:dyDescent="0.2">
      <c r="B16" s="51" t="s">
        <v>294</v>
      </c>
      <c r="C16" s="52">
        <f t="shared" ref="C16:N16" si="1">C9+C10+C11+C12+C13+C14+C15</f>
        <v>7289.0107268372312</v>
      </c>
      <c r="D16" s="52">
        <f t="shared" si="1"/>
        <v>-755.81145716277013</v>
      </c>
      <c r="E16" s="52">
        <f t="shared" si="1"/>
        <v>-738.66802516277028</v>
      </c>
      <c r="F16" s="52">
        <f t="shared" si="1"/>
        <v>462.24081483722989</v>
      </c>
      <c r="G16" s="52">
        <f t="shared" si="1"/>
        <v>519.61621483723002</v>
      </c>
      <c r="H16" s="52">
        <f t="shared" si="1"/>
        <v>1713.8264815038965</v>
      </c>
      <c r="I16" s="52">
        <f t="shared" si="1"/>
        <v>3012.0931348372296</v>
      </c>
      <c r="J16" s="52">
        <f t="shared" si="1"/>
        <v>3012.0931348372296</v>
      </c>
      <c r="K16" s="52">
        <f t="shared" si="1"/>
        <v>770.951908170563</v>
      </c>
      <c r="L16" s="52">
        <f t="shared" si="1"/>
        <v>519.61621483723002</v>
      </c>
      <c r="M16" s="52">
        <f t="shared" si="1"/>
        <v>-725.93000116277017</v>
      </c>
      <c r="N16" s="52">
        <f t="shared" si="1"/>
        <v>-2538.2608033362822</v>
      </c>
      <c r="O16" s="68">
        <f t="shared" si="0"/>
        <v>12540.778343873248</v>
      </c>
    </row>
    <row r="17" spans="2:15" x14ac:dyDescent="0.2">
      <c r="B17" s="36" t="s">
        <v>295</v>
      </c>
      <c r="C17" s="48">
        <f>C16</f>
        <v>7289.0107268372312</v>
      </c>
      <c r="D17" s="48">
        <f t="shared" ref="D17:N17" si="2">C17+D16</f>
        <v>6533.199269674461</v>
      </c>
      <c r="E17" s="48">
        <f t="shared" si="2"/>
        <v>5794.5312445116906</v>
      </c>
      <c r="F17" s="48">
        <f t="shared" si="2"/>
        <v>6256.7720593489203</v>
      </c>
      <c r="G17" s="48">
        <f t="shared" si="2"/>
        <v>6776.3882741861507</v>
      </c>
      <c r="H17" s="48">
        <f t="shared" si="2"/>
        <v>8490.2147556900472</v>
      </c>
      <c r="I17" s="48">
        <f t="shared" si="2"/>
        <v>11502.307890527278</v>
      </c>
      <c r="J17" s="48">
        <f t="shared" si="2"/>
        <v>14514.401025364506</v>
      </c>
      <c r="K17" s="48">
        <f t="shared" si="2"/>
        <v>15285.352933535069</v>
      </c>
      <c r="L17" s="48">
        <f t="shared" si="2"/>
        <v>15804.969148372298</v>
      </c>
      <c r="M17" s="48">
        <f t="shared" si="2"/>
        <v>15079.039147209529</v>
      </c>
      <c r="N17" s="48">
        <f t="shared" si="2"/>
        <v>12540.778343873248</v>
      </c>
      <c r="O17" s="6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E11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44" customWidth="1"/>
    <col min="3" max="3" width="16" customWidth="1"/>
    <col min="4" max="4" width="10" customWidth="1"/>
    <col min="5" max="5" width="44" customWidth="1"/>
  </cols>
  <sheetData>
    <row r="2" spans="2:5" ht="18" x14ac:dyDescent="0.2">
      <c r="B2" s="13" t="s">
        <v>296</v>
      </c>
    </row>
    <row r="3" spans="2:5" x14ac:dyDescent="0.2">
      <c r="B3" s="3" t="s">
        <v>297</v>
      </c>
    </row>
    <row r="5" spans="2:5" x14ac:dyDescent="0.2">
      <c r="B5" s="15" t="s">
        <v>298</v>
      </c>
      <c r="C5" s="20">
        <f>Receita_Revenue!O12/Receita_Revenue!O11</f>
        <v>127.84953395472705</v>
      </c>
      <c r="D5" s="17" t="s">
        <v>17</v>
      </c>
      <c r="E5" s="18" t="s">
        <v>299</v>
      </c>
    </row>
    <row r="6" spans="2:5" ht="28" x14ac:dyDescent="0.2">
      <c r="B6" s="15" t="s">
        <v>300</v>
      </c>
      <c r="C6" s="20">
        <f>C5*(1+Pressupostos_Assumpt!C29)*(1-Pressupostos_Assumpt!C30)-Pressupostos_Assumpt!C32/Pressupostos_Assumpt!C31</f>
        <v>115.04608965823348</v>
      </c>
      <c r="D6" s="17" t="s">
        <v>17</v>
      </c>
      <c r="E6" s="18" t="s">
        <v>301</v>
      </c>
    </row>
    <row r="7" spans="2:5" x14ac:dyDescent="0.2">
      <c r="B7" s="15" t="s">
        <v>302</v>
      </c>
      <c r="C7" s="43">
        <f>Custos_Costs!O17+Custos_Costs!O22+Custos_Costs!O24+Custos_Costs!O25</f>
        <v>12905.527081568087</v>
      </c>
      <c r="D7" s="17" t="s">
        <v>70</v>
      </c>
      <c r="E7" s="18" t="s">
        <v>303</v>
      </c>
    </row>
    <row r="8" spans="2:5" ht="28" x14ac:dyDescent="0.2">
      <c r="B8" s="54" t="s">
        <v>304</v>
      </c>
      <c r="C8" s="70">
        <f>C7/C6</f>
        <v>112.1770163584563</v>
      </c>
      <c r="D8" s="17" t="s">
        <v>305</v>
      </c>
      <c r="E8" s="18" t="s">
        <v>306</v>
      </c>
    </row>
    <row r="9" spans="2:5" x14ac:dyDescent="0.2">
      <c r="B9" s="15" t="s">
        <v>307</v>
      </c>
      <c r="C9" s="45">
        <f>Receita_Revenue!O11</f>
        <v>165.22</v>
      </c>
      <c r="D9" s="17" t="s">
        <v>305</v>
      </c>
      <c r="E9" s="18" t="s">
        <v>308</v>
      </c>
    </row>
    <row r="10" spans="2:5" x14ac:dyDescent="0.2">
      <c r="B10" s="54" t="s">
        <v>309</v>
      </c>
      <c r="C10" s="62">
        <f>C8/Receita_Revenue!O8</f>
        <v>0.32896485735617681</v>
      </c>
      <c r="D10" s="17" t="s">
        <v>56</v>
      </c>
      <c r="E10" s="18" t="s">
        <v>310</v>
      </c>
    </row>
    <row r="11" spans="2:5" x14ac:dyDescent="0.2">
      <c r="B11" s="47" t="s">
        <v>311</v>
      </c>
      <c r="C11" s="42">
        <f>(C9-C8)/C9</f>
        <v>0.32104456870562703</v>
      </c>
      <c r="D11" s="17" t="s">
        <v>56</v>
      </c>
      <c r="E11" s="18" t="s">
        <v>312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G17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30" customWidth="1"/>
    <col min="3" max="7" width="13" customWidth="1"/>
  </cols>
  <sheetData>
    <row r="2" spans="2:7" ht="18" x14ac:dyDescent="0.2">
      <c r="B2" s="13" t="s">
        <v>313</v>
      </c>
    </row>
    <row r="3" spans="2:7" x14ac:dyDescent="0.2">
      <c r="B3" s="3" t="s">
        <v>314</v>
      </c>
    </row>
    <row r="5" spans="2:7" x14ac:dyDescent="0.2">
      <c r="B5" s="24" t="s">
        <v>315</v>
      </c>
      <c r="C5" s="25">
        <f>Receita_Revenue!O12</f>
        <v>21123.300000000003</v>
      </c>
    </row>
    <row r="6" spans="2:7" x14ac:dyDescent="0.2">
      <c r="B6" s="24" t="s">
        <v>316</v>
      </c>
      <c r="C6" s="71">
        <f>Receita_Revenue!O15</f>
        <v>27.536666666666669</v>
      </c>
    </row>
    <row r="7" spans="2:7" x14ac:dyDescent="0.2">
      <c r="B7" s="24" t="s">
        <v>317</v>
      </c>
      <c r="C7" s="25">
        <f>Custos_Costs!O17+Custos_Costs!O22+Custos_Costs!O24+Custos_Costs!O25</f>
        <v>12905.527081568087</v>
      </c>
    </row>
    <row r="9" spans="2:7" x14ac:dyDescent="0.2">
      <c r="D9" s="24" t="s">
        <v>318</v>
      </c>
    </row>
    <row r="10" spans="2:7" x14ac:dyDescent="0.2">
      <c r="B10" s="35" t="s">
        <v>319</v>
      </c>
      <c r="C10" s="72">
        <v>0.85</v>
      </c>
      <c r="D10" s="72">
        <v>0.92500000000000004</v>
      </c>
      <c r="E10" s="72">
        <v>1</v>
      </c>
      <c r="F10" s="72">
        <v>1.075</v>
      </c>
      <c r="G10" s="72">
        <v>1.1499999999999999</v>
      </c>
    </row>
    <row r="11" spans="2:7" x14ac:dyDescent="0.2">
      <c r="B11" s="72">
        <v>0.7</v>
      </c>
      <c r="C11" s="43">
        <f>(($C$5*C10*B11*(1+Pressupostos_Assumpt!C29))-(($C$5*C10*B11*(1+Pressupostos_Assumpt!C29))*Pressupostos_Assumpt!C30+$C$6*B11*Pressupostos_Assumpt!C32)-$C$7)-IF((($C$5*C10*B11*(1+Pressupostos_Assumpt!C29))-(($C$5*C10*B11*(1+Pressupostos_Assumpt!C29))*Pressupostos_Assumpt!C30+$C$6*B11*Pressupostos_Assumpt!C32)-$C$7)&gt;0,(($C$5*C10*B11*(1+Pressupostos_Assumpt!C29))-(($C$5*C10*B11*(1+Pressupostos_Assumpt!C29))*Pressupostos_Assumpt!C30+$C$6*B11*Pressupostos_Assumpt!C32)-$C$7)*Pressupostos_Assumpt!C56,0)</f>
        <v>-1711.471696234752</v>
      </c>
      <c r="D11" s="43">
        <f>(($C$5*D10*B11*(1+Pressupostos_Assumpt!C29))-(($C$5*D10*B11*(1+Pressupostos_Assumpt!C29))*Pressupostos_Assumpt!C30+$C$6*B11*Pressupostos_Assumpt!C32)-$C$7)-IF((($C$5*D10*B11*(1+Pressupostos_Assumpt!C29))-(($C$5*D10*B11*(1+Pressupostos_Assumpt!C29))*Pressupostos_Assumpt!C30+$C$6*B11*Pressupostos_Assumpt!C32)-$C$7)&gt;0,(($C$5*D10*B11*(1+Pressupostos_Assumpt!C29))-(($C$5*D10*B11*(1+Pressupostos_Assumpt!C29))*Pressupostos_Assumpt!C30+$C$6*B11*Pressupostos_Assumpt!C32)-$C$7)*Pressupostos_Assumpt!C56,0)</f>
        <v>-655.72916223475113</v>
      </c>
      <c r="E11" s="43">
        <f>(($C$5*E10*B11*(1+Pressupostos_Assumpt!C29))-(($C$5*E10*B11*(1+Pressupostos_Assumpt!C29))*Pressupostos_Assumpt!C30+$C$6*B11*Pressupostos_Assumpt!C32)-$C$7)-IF((($C$5*E10*B11*(1+Pressupostos_Assumpt!C29))-(($C$5*E10*B11*(1+Pressupostos_Assumpt!C29))*Pressupostos_Assumpt!C30+$C$6*B11*Pressupostos_Assumpt!C32)-$C$7)&gt;0,(($C$5*E10*B11*(1+Pressupostos_Assumpt!C29))-(($C$5*E10*B11*(1+Pressupostos_Assumpt!C29))*Pressupostos_Assumpt!C30+$C$6*B11*Pressupostos_Assumpt!C32)-$C$7)*Pressupostos_Assumpt!C56,0)</f>
        <v>336.01123228280983</v>
      </c>
      <c r="F11" s="43">
        <f>(($C$5*F10*B11*(1+Pressupostos_Assumpt!C29))-(($C$5*F10*B11*(1+Pressupostos_Assumpt!C29))*Pressupostos_Assumpt!C30+$C$6*B11*Pressupostos_Assumpt!C32)-$C$7)-IF((($C$5*F10*B11*(1+Pressupostos_Assumpt!C29))-(($C$5*F10*B11*(1+Pressupostos_Assumpt!C29))*Pressupostos_Assumpt!C30+$C$6*B11*Pressupostos_Assumpt!C32)-$C$7)&gt;0,(($C$5*F10*B11*(1+Pressupostos_Assumpt!C29))-(($C$5*F10*B11*(1+Pressupostos_Assumpt!C29))*Pressupostos_Assumpt!C30+$C$6*B11*Pressupostos_Assumpt!C32)-$C$7)*Pressupostos_Assumpt!C56,0)</f>
        <v>1222.8349608428091</v>
      </c>
      <c r="G11" s="43">
        <f>(($C$5*G10*B11*(1+Pressupostos_Assumpt!C29))-(($C$5*G10*B11*(1+Pressupostos_Assumpt!C29))*Pressupostos_Assumpt!C30+$C$6*B11*Pressupostos_Assumpt!C32)-$C$7)-IF((($C$5*G10*B11*(1+Pressupostos_Assumpt!C29))-(($C$5*G10*B11*(1+Pressupostos_Assumpt!C29))*Pressupostos_Assumpt!C30+$C$6*B11*Pressupostos_Assumpt!C32)-$C$7)&gt;0,(($C$5*G10*B11*(1+Pressupostos_Assumpt!C29))-(($C$5*G10*B11*(1+Pressupostos_Assumpt!C29))*Pressupostos_Assumpt!C30+$C$6*B11*Pressupostos_Assumpt!C32)-$C$7)*Pressupostos_Assumpt!C56,0)</f>
        <v>2109.6586894028069</v>
      </c>
    </row>
    <row r="12" spans="2:7" x14ac:dyDescent="0.2">
      <c r="B12" s="72">
        <v>0.85</v>
      </c>
      <c r="C12" s="43">
        <f>(($C$5*C10*B12*(1+Pressupostos_Assumpt!C29))-(($C$5*C10*B12*(1+Pressupostos_Assumpt!C29))*Pressupostos_Assumpt!C30+$C$6*B12*Pressupostos_Assumpt!C32)-$C$7)-IF((($C$5*C10*B12*(1+Pressupostos_Assumpt!C29))-(($C$5*C10*B12*(1+Pressupostos_Assumpt!C29))*Pressupostos_Assumpt!C30+$C$6*B12*Pressupostos_Assumpt!C32)-$C$7)&gt;0,(($C$5*C10*B12*(1+Pressupostos_Assumpt!C29))-(($C$5*C10*B12*(1+Pressupostos_Assumpt!C29))*Pressupostos_Assumpt!C30+$C$6*B12*Pressupostos_Assumpt!C32)-$C$7)*Pressupostos_Assumpt!C56,0)</f>
        <v>577.29374452280672</v>
      </c>
      <c r="D12" s="43">
        <f>(($C$5*D10*B12*(1+Pressupostos_Assumpt!C29))-(($C$5*D10*B12*(1+Pressupostos_Assumpt!C29))*Pressupostos_Assumpt!C30+$C$6*B12*Pressupostos_Assumpt!C32)-$C$7)-IF((($C$5*D10*B12*(1+Pressupostos_Assumpt!C29))-(($C$5*D10*B12*(1+Pressupostos_Assumpt!C29))*Pressupostos_Assumpt!C30+$C$6*B12*Pressupostos_Assumpt!C32)-$C$7)&gt;0,(($C$5*D10*B12*(1+Pressupostos_Assumpt!C29))-(($C$5*D10*B12*(1+Pressupostos_Assumpt!C29))*Pressupostos_Assumpt!C30+$C$6*B12*Pressupostos_Assumpt!C32)-$C$7)*Pressupostos_Assumpt!C56,0)</f>
        <v>1654.1511292028117</v>
      </c>
      <c r="E12" s="43">
        <f>(($C$5*E10*B12*(1+Pressupostos_Assumpt!C29))-(($C$5*E10*B12*(1+Pressupostos_Assumpt!C29))*Pressupostos_Assumpt!C30+$C$6*B12*Pressupostos_Assumpt!C32)-$C$7)-IF((($C$5*E10*B12*(1+Pressupostos_Assumpt!C29))-(($C$5*E10*B12*(1+Pressupostos_Assumpt!C29))*Pressupostos_Assumpt!C30+$C$6*B12*Pressupostos_Assumpt!C32)-$C$7)&gt;0,(($C$5*E10*B12*(1+Pressupostos_Assumpt!C29))-(($C$5*E10*B12*(1+Pressupostos_Assumpt!C29))*Pressupostos_Assumpt!C30+$C$6*B12*Pressupostos_Assumpt!C32)-$C$7)*Pressupostos_Assumpt!C56,0)</f>
        <v>2731.0085138828076</v>
      </c>
      <c r="F12" s="43">
        <f>(($C$5*F10*B12*(1+Pressupostos_Assumpt!C29))-(($C$5*F10*B12*(1+Pressupostos_Assumpt!C29))*Pressupostos_Assumpt!C30+$C$6*B12*Pressupostos_Assumpt!C32)-$C$7)-IF((($C$5*F10*B12*(1+Pressupostos_Assumpt!C29))-(($C$5*F10*B12*(1+Pressupostos_Assumpt!C29))*Pressupostos_Assumpt!C30+$C$6*B12*Pressupostos_Assumpt!C32)-$C$7)&gt;0,(($C$5*F10*B12*(1+Pressupostos_Assumpt!C29))-(($C$5*F10*B12*(1+Pressupostos_Assumpt!C29))*Pressupostos_Assumpt!C30+$C$6*B12*Pressupostos_Assumpt!C32)-$C$7)*Pressupostos_Assumpt!C56,0)</f>
        <v>3807.8658985628067</v>
      </c>
      <c r="G12" s="43">
        <f>(($C$5*G10*B12*(1+Pressupostos_Assumpt!C29))-(($C$5*G10*B12*(1+Pressupostos_Assumpt!C29))*Pressupostos_Assumpt!C30+$C$6*B12*Pressupostos_Assumpt!C32)-$C$7)-IF((($C$5*G10*B12*(1+Pressupostos_Assumpt!C29))-(($C$5*G10*B12*(1+Pressupostos_Assumpt!C29))*Pressupostos_Assumpt!C30+$C$6*B12*Pressupostos_Assumpt!C32)-$C$7)&gt;0,(($C$5*G10*B12*(1+Pressupostos_Assumpt!C29))-(($C$5*G10*B12*(1+Pressupostos_Assumpt!C29))*Pressupostos_Assumpt!C30+$C$6*B12*Pressupostos_Assumpt!C32)-$C$7)*Pressupostos_Assumpt!C56,0)</f>
        <v>4884.7232832428117</v>
      </c>
    </row>
    <row r="13" spans="2:7" x14ac:dyDescent="0.2">
      <c r="B13" s="72">
        <v>1</v>
      </c>
      <c r="C13" s="43">
        <f>(($C$5*C10*B13*(1+Pressupostos_Assumpt!C29))-(($C$5*C10*B13*(1+Pressupostos_Assumpt!C29))*Pressupostos_Assumpt!C30+$C$6*B13*Pressupostos_Assumpt!C32)-$C$7)-IF((($C$5*C10*B13*(1+Pressupostos_Assumpt!C29))-(($C$5*C10*B13*(1+Pressupostos_Assumpt!C29))*Pressupostos_Assumpt!C30+$C$6*B13*Pressupostos_Assumpt!C32)-$C$7)&gt;0,(($C$5*C10*B13*(1+Pressupostos_Assumpt!C29))-(($C$5*C10*B13*(1+Pressupostos_Assumpt!C29))*Pressupostos_Assumpt!C30+$C$6*B13*Pressupostos_Assumpt!C32)-$C$7)*Pressupostos_Assumpt!C56,0)</f>
        <v>2592.2237138828068</v>
      </c>
      <c r="D13" s="43">
        <f>(($C$5*D10*B13*(1+Pressupostos_Assumpt!C29))-(($C$5*D10*B13*(1+Pressupostos_Assumpt!C29))*Pressupostos_Assumpt!C30+$C$6*B13*Pressupostos_Assumpt!C32)-$C$7)-IF((($C$5*D10*B13*(1+Pressupostos_Assumpt!C29))-(($C$5*D10*B13*(1+Pressupostos_Assumpt!C29))*Pressupostos_Assumpt!C30+$C$6*B13*Pressupostos_Assumpt!C32)-$C$7)&gt;0,(($C$5*D10*B13*(1+Pressupostos_Assumpt!C29))-(($C$5*D10*B13*(1+Pressupostos_Assumpt!C29))*Pressupostos_Assumpt!C30+$C$6*B13*Pressupostos_Assumpt!C32)-$C$7)*Pressupostos_Assumpt!C56,0)</f>
        <v>3859.1147546828129</v>
      </c>
      <c r="E13" s="48">
        <f>(($C$5*E10*B13*(1+Pressupostos_Assumpt!C29))-(($C$5*E10*B13*(1+Pressupostos_Assumpt!C29))*Pressupostos_Assumpt!C30+$C$6*B13*Pressupostos_Assumpt!C32)-$C$7)-IF((($C$5*E10*B13*(1+Pressupostos_Assumpt!C29))-(($C$5*E10*B13*(1+Pressupostos_Assumpt!C29))*Pressupostos_Assumpt!C30+$C$6*B13*Pressupostos_Assumpt!C32)-$C$7)&gt;0,(($C$5*E10*B13*(1+Pressupostos_Assumpt!C29))-(($C$5*E10*B13*(1+Pressupostos_Assumpt!C29))*Pressupostos_Assumpt!C30+$C$6*B13*Pressupostos_Assumpt!C32)-$C$7)*Pressupostos_Assumpt!C56,0)</f>
        <v>5126.0057954828098</v>
      </c>
      <c r="F13" s="43">
        <f>(($C$5*F10*B13*(1+Pressupostos_Assumpt!C29))-(($C$5*F10*B13*(1+Pressupostos_Assumpt!C29))*Pressupostos_Assumpt!C30+$C$6*B13*Pressupostos_Assumpt!C32)-$C$7)-IF((($C$5*F10*B13*(1+Pressupostos_Assumpt!C29))-(($C$5*F10*B13*(1+Pressupostos_Assumpt!C29))*Pressupostos_Assumpt!C30+$C$6*B13*Pressupostos_Assumpt!C32)-$C$7)&gt;0,(($C$5*F10*B13*(1+Pressupostos_Assumpt!C29))-(($C$5*F10*B13*(1+Pressupostos_Assumpt!C29))*Pressupostos_Assumpt!C30+$C$6*B13*Pressupostos_Assumpt!C32)-$C$7)*Pressupostos_Assumpt!C56,0)</f>
        <v>6392.89683628281</v>
      </c>
      <c r="G13" s="43">
        <f>(($C$5*G10*B13*(1+Pressupostos_Assumpt!C29))-(($C$5*G10*B13*(1+Pressupostos_Assumpt!C29))*Pressupostos_Assumpt!C30+$C$6*B13*Pressupostos_Assumpt!C32)-$C$7)-IF((($C$5*G10*B13*(1+Pressupostos_Assumpt!C29))-(($C$5*G10*B13*(1+Pressupostos_Assumpt!C29))*Pressupostos_Assumpt!C30+$C$6*B13*Pressupostos_Assumpt!C32)-$C$7)&gt;0,(($C$5*G10*B13*(1+Pressupostos_Assumpt!C29))-(($C$5*G10*B13*(1+Pressupostos_Assumpt!C29))*Pressupostos_Assumpt!C30+$C$6*B13*Pressupostos_Assumpt!C32)-$C$7)*Pressupostos_Assumpt!C56,0)</f>
        <v>7659.7878770828102</v>
      </c>
    </row>
    <row r="14" spans="2:7" x14ac:dyDescent="0.2">
      <c r="B14" s="72">
        <v>1.1499999999999999</v>
      </c>
      <c r="C14" s="43">
        <f>(($C$5*C10*B14*(1+Pressupostos_Assumpt!C29))-(($C$5*C10*B14*(1+Pressupostos_Assumpt!C29))*Pressupostos_Assumpt!C30+$C$6*B14*Pressupostos_Assumpt!C32)-$C$7)-IF((($C$5*C10*B14*(1+Pressupostos_Assumpt!C29))-(($C$5*C10*B14*(1+Pressupostos_Assumpt!C29))*Pressupostos_Assumpt!C30+$C$6*B14*Pressupostos_Assumpt!C32)-$C$7)&gt;0,(($C$5*C10*B14*(1+Pressupostos_Assumpt!C29))-(($C$5*C10*B14*(1+Pressupostos_Assumpt!C29))*Pressupostos_Assumpt!C30+$C$6*B14*Pressupostos_Assumpt!C32)-$C$7)*Pressupostos_Assumpt!C56,0)</f>
        <v>4607.1536832428037</v>
      </c>
      <c r="D14" s="43">
        <f>(($C$5*D10*B14*(1+Pressupostos_Assumpt!C29))-(($C$5*D10*B14*(1+Pressupostos_Assumpt!C29))*Pressupostos_Assumpt!C30+$C$6*B14*Pressupostos_Assumpt!C32)-$C$7)-IF((($C$5*D10*B14*(1+Pressupostos_Assumpt!C29))-(($C$5*D10*B14*(1+Pressupostos_Assumpt!C29))*Pressupostos_Assumpt!C30+$C$6*B14*Pressupostos_Assumpt!C32)-$C$7)&gt;0,(($C$5*D10*B14*(1+Pressupostos_Assumpt!C29))-(($C$5*D10*B14*(1+Pressupostos_Assumpt!C29))*Pressupostos_Assumpt!C30+$C$6*B14*Pressupostos_Assumpt!C32)-$C$7)*Pressupostos_Assumpt!C56,0)</f>
        <v>6064.0783801628113</v>
      </c>
      <c r="E14" s="43">
        <f>(($C$5*E10*B14*(1+Pressupostos_Assumpt!C29))-(($C$5*E10*B14*(1+Pressupostos_Assumpt!C29))*Pressupostos_Assumpt!C30+$C$6*B14*Pressupostos_Assumpt!C32)-$C$7)-IF((($C$5*E10*B14*(1+Pressupostos_Assumpt!C29))-(($C$5*E10*B14*(1+Pressupostos_Assumpt!C29))*Pressupostos_Assumpt!C30+$C$6*B14*Pressupostos_Assumpt!C32)-$C$7)&gt;0,(($C$5*E10*B14*(1+Pressupostos_Assumpt!C29))-(($C$5*E10*B14*(1+Pressupostos_Assumpt!C29))*Pressupostos_Assumpt!C30+$C$6*B14*Pressupostos_Assumpt!C32)-$C$7)*Pressupostos_Assumpt!C56,0)</f>
        <v>7521.0030770828125</v>
      </c>
      <c r="F14" s="43">
        <f>(($C$5*F10*B14*(1+Pressupostos_Assumpt!C29))-(($C$5*F10*B14*(1+Pressupostos_Assumpt!C29))*Pressupostos_Assumpt!C30+$C$6*B14*Pressupostos_Assumpt!C32)-$C$7)-IF((($C$5*F10*B14*(1+Pressupostos_Assumpt!C29))-(($C$5*F10*B14*(1+Pressupostos_Assumpt!C29))*Pressupostos_Assumpt!C30+$C$6*B14*Pressupostos_Assumpt!C32)-$C$7)&gt;0,(($C$5*F10*B14*(1+Pressupostos_Assumpt!C29))-(($C$5*F10*B14*(1+Pressupostos_Assumpt!C29))*Pressupostos_Assumpt!C30+$C$6*B14*Pressupostos_Assumpt!C32)-$C$7)*Pressupostos_Assumpt!C56,0)</f>
        <v>8977.9277740028047</v>
      </c>
      <c r="G14" s="43">
        <f>(($C$5*G10*B14*(1+Pressupostos_Assumpt!C29))-(($C$5*G10*B14*(1+Pressupostos_Assumpt!C29))*Pressupostos_Assumpt!C30+$C$6*B14*Pressupostos_Assumpt!C32)-$C$7)-IF((($C$5*G10*B14*(1+Pressupostos_Assumpt!C29))-(($C$5*G10*B14*(1+Pressupostos_Assumpt!C29))*Pressupostos_Assumpt!C30+$C$6*B14*Pressupostos_Assumpt!C32)-$C$7)&gt;0,(($C$5*G10*B14*(1+Pressupostos_Assumpt!C29))-(($C$5*G10*B14*(1+Pressupostos_Assumpt!C29))*Pressupostos_Assumpt!C30+$C$6*B14*Pressupostos_Assumpt!C32)-$C$7)*Pressupostos_Assumpt!C56,0)</f>
        <v>10434.85247092281</v>
      </c>
    </row>
    <row r="15" spans="2:7" x14ac:dyDescent="0.2">
      <c r="B15" s="72">
        <v>1.3</v>
      </c>
      <c r="C15" s="43">
        <f>(($C$5*C10*B15*(1+Pressupostos_Assumpt!C29))-(($C$5*C10*B15*(1+Pressupostos_Assumpt!C29))*Pressupostos_Assumpt!C30+$C$6*B15*Pressupostos_Assumpt!C32)-$C$7)-IF((($C$5*C10*B15*(1+Pressupostos_Assumpt!C29))-(($C$5*C10*B15*(1+Pressupostos_Assumpt!C29))*Pressupostos_Assumpt!C30+$C$6*B15*Pressupostos_Assumpt!C32)-$C$7)&gt;0,(($C$5*C10*B15*(1+Pressupostos_Assumpt!C29))-(($C$5*C10*B15*(1+Pressupostos_Assumpt!C29))*Pressupostos_Assumpt!C30+$C$6*B15*Pressupostos_Assumpt!C32)-$C$7)*Pressupostos_Assumpt!C56,0)</f>
        <v>6622.0836526028124</v>
      </c>
      <c r="D15" s="43">
        <f>(($C$5*D10*B15*(1+Pressupostos_Assumpt!C29))-(($C$5*D10*B15*(1+Pressupostos_Assumpt!C29))*Pressupostos_Assumpt!C30+$C$6*B15*Pressupostos_Assumpt!C32)-$C$7)-IF((($C$5*D10*B15*(1+Pressupostos_Assumpt!C29))-(($C$5*D10*B15*(1+Pressupostos_Assumpt!C29))*Pressupostos_Assumpt!C30+$C$6*B15*Pressupostos_Assumpt!C32)-$C$7)&gt;0,(($C$5*D10*B15*(1+Pressupostos_Assumpt!C29))-(($C$5*D10*B15*(1+Pressupostos_Assumpt!C29))*Pressupostos_Assumpt!C30+$C$6*B15*Pressupostos_Assumpt!C32)-$C$7)*Pressupostos_Assumpt!C56,0)</f>
        <v>8269.0420056428156</v>
      </c>
      <c r="E15" s="43">
        <f>(($C$5*E10*B15*(1+Pressupostos_Assumpt!C29))-(($C$5*E10*B15*(1+Pressupostos_Assumpt!C29))*Pressupostos_Assumpt!C30+$C$6*B15*Pressupostos_Assumpt!C32)-$C$7)-IF((($C$5*E10*B15*(1+Pressupostos_Assumpt!C29))-(($C$5*E10*B15*(1+Pressupostos_Assumpt!C29))*Pressupostos_Assumpt!C30+$C$6*B15*Pressupostos_Assumpt!C32)-$C$7)&gt;0,(($C$5*E10*B15*(1+Pressupostos_Assumpt!C29))-(($C$5*E10*B15*(1+Pressupostos_Assumpt!C29))*Pressupostos_Assumpt!C30+$C$6*B15*Pressupostos_Assumpt!C32)-$C$7)*Pressupostos_Assumpt!C56,0)</f>
        <v>9916.0003586828116</v>
      </c>
      <c r="F15" s="43">
        <f>(($C$5*F10*B15*(1+Pressupostos_Assumpt!C29))-(($C$5*F10*B15*(1+Pressupostos_Assumpt!C29))*Pressupostos_Assumpt!C30+$C$6*B15*Pressupostos_Assumpt!C32)-$C$7)-IF((($C$5*F10*B15*(1+Pressupostos_Assumpt!C29))-(($C$5*F10*B15*(1+Pressupostos_Assumpt!C29))*Pressupostos_Assumpt!C30+$C$6*B15*Pressupostos_Assumpt!C32)-$C$7)&gt;0,(($C$5*F10*B15*(1+Pressupostos_Assumpt!C29))-(($C$5*F10*B15*(1+Pressupostos_Assumpt!C29))*Pressupostos_Assumpt!C30+$C$6*B15*Pressupostos_Assumpt!C32)-$C$7)*Pressupostos_Assumpt!C56,0)</f>
        <v>11562.958711722807</v>
      </c>
      <c r="G15" s="43">
        <f>(($C$5*G10*B15*(1+Pressupostos_Assumpt!C29))-(($C$5*G10*B15*(1+Pressupostos_Assumpt!C29))*Pressupostos_Assumpt!C30+$C$6*B15*Pressupostos_Assumpt!C32)-$C$7)-IF((($C$5*G10*B15*(1+Pressupostos_Assumpt!C29))-(($C$5*G10*B15*(1+Pressupostos_Assumpt!C29))*Pressupostos_Assumpt!C30+$C$6*B15*Pressupostos_Assumpt!C32)-$C$7)&gt;0,(($C$5*G10*B15*(1+Pressupostos_Assumpt!C29))-(($C$5*G10*B15*(1+Pressupostos_Assumpt!C29))*Pressupostos_Assumpt!C30+$C$6*B15*Pressupostos_Assumpt!C32)-$C$7)*Pressupostos_Assumpt!C56,0)</f>
        <v>13209.917064762814</v>
      </c>
    </row>
    <row r="17" spans="2:2" x14ac:dyDescent="0.2">
      <c r="B17" s="12" t="s">
        <v>320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I18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40" customWidth="1"/>
    <col min="3" max="9" width="12" customWidth="1"/>
  </cols>
  <sheetData>
    <row r="2" spans="2:9" ht="18" x14ac:dyDescent="0.2">
      <c r="B2" s="13" t="s">
        <v>321</v>
      </c>
    </row>
    <row r="3" spans="2:9" x14ac:dyDescent="0.2">
      <c r="B3" s="3" t="s">
        <v>322</v>
      </c>
    </row>
    <row r="5" spans="2:9" x14ac:dyDescent="0.2">
      <c r="B5" s="24" t="s">
        <v>138</v>
      </c>
      <c r="C5" s="73">
        <f>Pressupostos_Assumpt!C59</f>
        <v>80000</v>
      </c>
    </row>
    <row r="6" spans="2:9" x14ac:dyDescent="0.2">
      <c r="B6" s="24" t="s">
        <v>141</v>
      </c>
      <c r="C6" s="73">
        <f>Pressupostos_Assumpt!C60</f>
        <v>200</v>
      </c>
    </row>
    <row r="7" spans="2:9" x14ac:dyDescent="0.2">
      <c r="B7" s="24" t="s">
        <v>323</v>
      </c>
      <c r="C7" s="27">
        <f>Receita_Revenue!O11</f>
        <v>165.22</v>
      </c>
    </row>
    <row r="8" spans="2:9" x14ac:dyDescent="0.2">
      <c r="B8" s="24" t="s">
        <v>324</v>
      </c>
      <c r="C8" s="74">
        <f>C6*C7</f>
        <v>33044</v>
      </c>
    </row>
    <row r="10" spans="2:9" x14ac:dyDescent="0.2">
      <c r="B10" s="34" t="s">
        <v>264</v>
      </c>
      <c r="C10" s="35" t="s">
        <v>265</v>
      </c>
      <c r="D10" s="35" t="s">
        <v>235</v>
      </c>
      <c r="E10" s="35" t="s">
        <v>236</v>
      </c>
      <c r="F10" s="35" t="s">
        <v>237</v>
      </c>
      <c r="G10" s="35" t="s">
        <v>238</v>
      </c>
      <c r="H10" s="35" t="s">
        <v>239</v>
      </c>
      <c r="I10" s="35" t="s">
        <v>325</v>
      </c>
    </row>
    <row r="11" spans="2:9" x14ac:dyDescent="0.2">
      <c r="B11" s="15" t="s">
        <v>326</v>
      </c>
      <c r="C11" s="75">
        <f t="shared" ref="C11:I11" si="0">$C$8</f>
        <v>33044</v>
      </c>
      <c r="D11" s="75">
        <f t="shared" si="0"/>
        <v>33044</v>
      </c>
      <c r="E11" s="75">
        <f t="shared" si="0"/>
        <v>33044</v>
      </c>
      <c r="F11" s="75">
        <f t="shared" si="0"/>
        <v>33044</v>
      </c>
      <c r="G11" s="75">
        <f t="shared" si="0"/>
        <v>33044</v>
      </c>
      <c r="H11" s="75">
        <f t="shared" si="0"/>
        <v>33044</v>
      </c>
      <c r="I11" s="75">
        <f t="shared" si="0"/>
        <v>33044</v>
      </c>
    </row>
    <row r="12" spans="2:9" x14ac:dyDescent="0.2">
      <c r="B12" s="53" t="s">
        <v>327</v>
      </c>
      <c r="C12" s="76">
        <f>$C$5+$C$8*1</f>
        <v>113044</v>
      </c>
      <c r="D12" s="76">
        <f>$C$5+$C$8*2</f>
        <v>146088</v>
      </c>
      <c r="E12" s="76">
        <f>$C$5+$C$8*3</f>
        <v>179132</v>
      </c>
      <c r="F12" s="76">
        <f>$C$5+$C$8*4</f>
        <v>212176</v>
      </c>
      <c r="G12" s="76">
        <f>$C$5+$C$8*5</f>
        <v>245220</v>
      </c>
      <c r="H12" s="76">
        <f>$C$5+$C$8*6</f>
        <v>278264</v>
      </c>
      <c r="I12" s="76">
        <f>$C$5+$C$8*7</f>
        <v>311308</v>
      </c>
    </row>
    <row r="15" spans="2:9" x14ac:dyDescent="0.2">
      <c r="B15" s="4" t="s">
        <v>328</v>
      </c>
      <c r="C15" s="5"/>
      <c r="D15" s="5"/>
    </row>
    <row r="16" spans="2:9" x14ac:dyDescent="0.2">
      <c r="B16" s="6" t="s">
        <v>329</v>
      </c>
      <c r="C16" s="46">
        <f>(150000-$C$5)/$C$8</f>
        <v>2.1183876044062462</v>
      </c>
      <c r="D16" s="17" t="s">
        <v>330</v>
      </c>
    </row>
    <row r="17" spans="2:4" x14ac:dyDescent="0.2">
      <c r="B17" s="6" t="s">
        <v>331</v>
      </c>
      <c r="C17" s="46">
        <f>(175000-$C$5)/$C$8</f>
        <v>2.8749546059799056</v>
      </c>
      <c r="D17" s="17" t="s">
        <v>330</v>
      </c>
    </row>
    <row r="18" spans="2:4" x14ac:dyDescent="0.2">
      <c r="B18" s="8" t="s">
        <v>332</v>
      </c>
      <c r="C18" s="46">
        <f>(200000-$C$5)/$C$8</f>
        <v>3.631521607553565</v>
      </c>
      <c r="D18" s="17" t="s">
        <v>330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48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44" customWidth="1"/>
    <col min="3" max="9" width="12" customWidth="1"/>
  </cols>
  <sheetData>
    <row r="2" spans="2:9" ht="18" x14ac:dyDescent="0.2">
      <c r="B2" s="13" t="s">
        <v>333</v>
      </c>
    </row>
    <row r="3" spans="2:9" x14ac:dyDescent="0.2">
      <c r="B3" s="3" t="s">
        <v>334</v>
      </c>
    </row>
    <row r="5" spans="2:9" x14ac:dyDescent="0.2">
      <c r="B5" s="34" t="s">
        <v>264</v>
      </c>
      <c r="C5" s="35" t="s">
        <v>265</v>
      </c>
      <c r="D5" s="35" t="s">
        <v>235</v>
      </c>
      <c r="E5" s="35" t="s">
        <v>236</v>
      </c>
      <c r="F5" s="35" t="s">
        <v>237</v>
      </c>
      <c r="G5" s="35" t="s">
        <v>238</v>
      </c>
      <c r="H5" s="35" t="s">
        <v>239</v>
      </c>
      <c r="I5" s="35" t="s">
        <v>325</v>
      </c>
    </row>
    <row r="6" spans="2:9" x14ac:dyDescent="0.2">
      <c r="B6" s="50" t="s">
        <v>335</v>
      </c>
      <c r="C6" s="77">
        <f>Quilometragem_Mileage!C12</f>
        <v>113044</v>
      </c>
      <c r="D6" s="77">
        <f>Quilometragem_Mileage!D12</f>
        <v>146088</v>
      </c>
      <c r="E6" s="77">
        <f>Quilometragem_Mileage!E12</f>
        <v>179132</v>
      </c>
      <c r="F6" s="77">
        <f>Quilometragem_Mileage!F12</f>
        <v>212176</v>
      </c>
      <c r="G6" s="77">
        <f>Quilometragem_Mileage!G12</f>
        <v>245220</v>
      </c>
      <c r="H6" s="77">
        <f>Quilometragem_Mileage!H12</f>
        <v>278264</v>
      </c>
      <c r="I6" s="77">
        <f>Quilometragem_Mileage!I12</f>
        <v>311308</v>
      </c>
    </row>
    <row r="7" spans="2:9" ht="28" x14ac:dyDescent="0.2">
      <c r="B7" s="53" t="s">
        <v>336</v>
      </c>
      <c r="C7" s="48">
        <f>MAX(Pressupostos_Assumpt!C67,Pressupostos_Assumpt!C64-Pressupostos_Assumpt!C65*(C6-Pressupostos_Assumpt!C59)-Pressupostos_Assumpt!C66*1)</f>
        <v>34904.28</v>
      </c>
      <c r="D7" s="48">
        <f>MAX(Pressupostos_Assumpt!C67,Pressupostos_Assumpt!C64-Pressupostos_Assumpt!C65*(D6-Pressupostos_Assumpt!C59)-Pressupostos_Assumpt!C66*2)</f>
        <v>29808.559999999998</v>
      </c>
      <c r="E7" s="48">
        <f>MAX(Pressupostos_Assumpt!C67,Pressupostos_Assumpt!C64-Pressupostos_Assumpt!C65*(E6-Pressupostos_Assumpt!C59)-Pressupostos_Assumpt!C66*3)</f>
        <v>24712.84</v>
      </c>
      <c r="F7" s="48">
        <f>MAX(Pressupostos_Assumpt!C67,Pressupostos_Assumpt!C64-Pressupostos_Assumpt!C65*(F6-Pressupostos_Assumpt!C59)-Pressupostos_Assumpt!C66*4)</f>
        <v>19617.12</v>
      </c>
      <c r="G7" s="48">
        <f>MAX(Pressupostos_Assumpt!C67,Pressupostos_Assumpt!C64-Pressupostos_Assumpt!C65*(G6-Pressupostos_Assumpt!C59)-Pressupostos_Assumpt!C66*5)</f>
        <v>14521.399999999998</v>
      </c>
      <c r="H7" s="48">
        <f>MAX(Pressupostos_Assumpt!C67,Pressupostos_Assumpt!C64-Pressupostos_Assumpt!C65*(H6-Pressupostos_Assumpt!C59)-Pressupostos_Assumpt!C66*6)</f>
        <v>9425.68</v>
      </c>
      <c r="I7" s="48">
        <f>MAX(Pressupostos_Assumpt!C67,Pressupostos_Assumpt!C64-Pressupostos_Assumpt!C65*(I6-Pressupostos_Assumpt!C59)-Pressupostos_Assumpt!C66*7)</f>
        <v>9000</v>
      </c>
    </row>
    <row r="8" spans="2:9" x14ac:dyDescent="0.2">
      <c r="B8" s="18" t="s">
        <v>337</v>
      </c>
      <c r="C8" s="63">
        <f>Pressupostos_Assumpt!C7-Pressupostos_Assumpt!C15*MIN(1,Pressupostos_Assumpt!C13)</f>
        <v>36000</v>
      </c>
      <c r="D8" s="63">
        <f>Pressupostos_Assumpt!C7-Pressupostos_Assumpt!C15*MIN(2,Pressupostos_Assumpt!C13)</f>
        <v>32000</v>
      </c>
      <c r="E8" s="63">
        <f>Pressupostos_Assumpt!C7-Pressupostos_Assumpt!C15*MIN(3,Pressupostos_Assumpt!C13)</f>
        <v>28000</v>
      </c>
      <c r="F8" s="63">
        <f>Pressupostos_Assumpt!C7-Pressupostos_Assumpt!C15*MIN(4,Pressupostos_Assumpt!C13)</f>
        <v>24000</v>
      </c>
      <c r="G8" s="63">
        <f>Pressupostos_Assumpt!C7-Pressupostos_Assumpt!C15*MIN(5,Pressupostos_Assumpt!C13)</f>
        <v>20000</v>
      </c>
      <c r="H8" s="63">
        <f>Pressupostos_Assumpt!C7-Pressupostos_Assumpt!C15*MIN(6,Pressupostos_Assumpt!C13)</f>
        <v>16000</v>
      </c>
      <c r="I8" s="63">
        <f>Pressupostos_Assumpt!C7-Pressupostos_Assumpt!C15*MIN(7,Pressupostos_Assumpt!C13)</f>
        <v>12000</v>
      </c>
    </row>
    <row r="9" spans="2:9" x14ac:dyDescent="0.2">
      <c r="B9" s="15" t="s">
        <v>338</v>
      </c>
      <c r="C9" s="43">
        <f t="shared" ref="C9:I9" si="0">C7-C8</f>
        <v>-1095.7200000000012</v>
      </c>
      <c r="D9" s="43">
        <f t="shared" si="0"/>
        <v>-2191.4400000000023</v>
      </c>
      <c r="E9" s="43">
        <f t="shared" si="0"/>
        <v>-3287.16</v>
      </c>
      <c r="F9" s="43">
        <f t="shared" si="0"/>
        <v>-4382.880000000001</v>
      </c>
      <c r="G9" s="43">
        <f t="shared" si="0"/>
        <v>-5478.6000000000022</v>
      </c>
      <c r="H9" s="43">
        <f t="shared" si="0"/>
        <v>-6574.32</v>
      </c>
      <c r="I9" s="43">
        <f t="shared" si="0"/>
        <v>-3000</v>
      </c>
    </row>
    <row r="10" spans="2:9" x14ac:dyDescent="0.2">
      <c r="B10" s="50" t="s">
        <v>339</v>
      </c>
      <c r="C10" s="7">
        <f>Financiamento_Loan!F22</f>
        <v>32002.282459614853</v>
      </c>
      <c r="D10" s="7">
        <f>Financiamento_Loan!F34</f>
        <v>27672.756335021993</v>
      </c>
      <c r="E10" s="7">
        <f>Financiamento_Loan!F46</f>
        <v>22983.881677377689</v>
      </c>
      <c r="F10" s="7">
        <f>Financiamento_Loan!F58</f>
        <v>17905.832735666681</v>
      </c>
      <c r="G10" s="7">
        <f>Financiamento_Loan!F70</f>
        <v>12406.308236249251</v>
      </c>
      <c r="H10" s="7">
        <f>Financiamento_Loan!F82</f>
        <v>6450.3259157043576</v>
      </c>
      <c r="I10" s="7">
        <f>Financiamento_Loan!F94</f>
        <v>-1.546140993013978E-11</v>
      </c>
    </row>
    <row r="11" spans="2:9" x14ac:dyDescent="0.2">
      <c r="B11" s="47" t="s">
        <v>340</v>
      </c>
      <c r="C11" s="44">
        <f t="shared" ref="C11:I11" si="1">C7-C10</f>
        <v>2901.9975403851458</v>
      </c>
      <c r="D11" s="44">
        <f t="shared" si="1"/>
        <v>2135.8036649780042</v>
      </c>
      <c r="E11" s="44">
        <f t="shared" si="1"/>
        <v>1728.9583226223112</v>
      </c>
      <c r="F11" s="44">
        <f t="shared" si="1"/>
        <v>1711.2872643333176</v>
      </c>
      <c r="G11" s="44">
        <f t="shared" si="1"/>
        <v>2115.0917637507464</v>
      </c>
      <c r="H11" s="44">
        <f t="shared" si="1"/>
        <v>2975.3540842956427</v>
      </c>
      <c r="I11" s="44">
        <f t="shared" si="1"/>
        <v>9000.0000000000146</v>
      </c>
    </row>
    <row r="13" spans="2:9" x14ac:dyDescent="0.2">
      <c r="B13" s="4" t="s">
        <v>341</v>
      </c>
      <c r="C13" s="5"/>
      <c r="D13" s="5"/>
      <c r="E13" s="5"/>
      <c r="F13" s="5"/>
      <c r="G13" s="5"/>
      <c r="H13" s="5"/>
      <c r="I13" s="5"/>
    </row>
    <row r="14" spans="2:9" x14ac:dyDescent="0.2">
      <c r="B14" s="15" t="s">
        <v>241</v>
      </c>
      <c r="C14" s="43">
        <f>Receita_Revenue!O14*(1+Pressupostos_Assumpt!C21)^0</f>
        <v>23658.096000000005</v>
      </c>
      <c r="D14" s="43">
        <f>Receita_Revenue!O14*(1+Pressupostos_Assumpt!C21)^1</f>
        <v>24367.838880000007</v>
      </c>
      <c r="E14" s="43">
        <f>Receita_Revenue!O14*(1+Pressupostos_Assumpt!C21)^2</f>
        <v>25098.874046400004</v>
      </c>
      <c r="F14" s="43">
        <f>Receita_Revenue!O14*(1+Pressupostos_Assumpt!C21)^3</f>
        <v>25851.840267792006</v>
      </c>
      <c r="G14" s="43">
        <f>Receita_Revenue!O14*(1+Pressupostos_Assumpt!C21)^4</f>
        <v>26627.395475825764</v>
      </c>
      <c r="H14" s="43">
        <f>Receita_Revenue!O14*(1+Pressupostos_Assumpt!C21)^5</f>
        <v>27426.217340100535</v>
      </c>
      <c r="I14" s="43">
        <f>Receita_Revenue!O14*(1+Pressupostos_Assumpt!C21)^6</f>
        <v>28249.003860303554</v>
      </c>
    </row>
    <row r="15" spans="2:9" x14ac:dyDescent="0.2">
      <c r="B15" s="15" t="s">
        <v>242</v>
      </c>
      <c r="C15" s="43">
        <f>C14-C14*(Custos_Costs!O9/Receita_Revenue!O14)-Custos_Costs!O17-Custos_Costs!O22*(1+Pressupostos_Assumpt!C47)^0</f>
        <v>12837.914933333339</v>
      </c>
      <c r="D15" s="43">
        <f>D14-D14*(Custos_Costs!O9/Receita_Revenue!O14)-Custos_Costs!O17-Custos_Costs!O22*(1+Pressupostos_Assumpt!C47)^1</f>
        <v>13332.552381333342</v>
      </c>
      <c r="E15" s="43">
        <f>E14-E14*(Custos_Costs!O9/Receita_Revenue!O14)-Custos_Costs!O17-Custos_Costs!O22*(1+Pressupostos_Assumpt!C47)^2</f>
        <v>13842.028952773337</v>
      </c>
      <c r="F15" s="43">
        <f>F14-F14*(Custos_Costs!O9/Receita_Revenue!O14)-Custos_Costs!O17-Custos_Costs!O22*(1+Pressupostos_Assumpt!C47)^3</f>
        <v>14366.78982135654</v>
      </c>
      <c r="G15" s="43">
        <f>G14-G14*(Custos_Costs!O9/Receita_Revenue!O14)-Custos_Costs!O17-Custos_Costs!O22*(1+Pressupostos_Assumpt!C47)^4</f>
        <v>14907.293515997233</v>
      </c>
      <c r="H15" s="43">
        <f>H14-H14*(Custos_Costs!O9/Receita_Revenue!O14)-Custos_Costs!O17-Custos_Costs!O22*(1+Pressupostos_Assumpt!C47)^5</f>
        <v>15464.012321477152</v>
      </c>
      <c r="I15" s="43">
        <f>I14-I14*(Custos_Costs!O9/Receita_Revenue!O14)-Custos_Costs!O17-Custos_Costs!O22*(1+Pressupostos_Assumpt!C47)^6</f>
        <v>16037.432691121467</v>
      </c>
    </row>
    <row r="16" spans="2:9" x14ac:dyDescent="0.2">
      <c r="B16" s="15" t="s">
        <v>225</v>
      </c>
      <c r="C16" s="43">
        <f>-IF(1&lt;=Pressupostos_Assumpt!C13,Pressupostos_Assumpt!C15,0)</f>
        <v>-4000</v>
      </c>
      <c r="D16" s="43">
        <f>-IF(2&lt;=Pressupostos_Assumpt!C13,Pressupostos_Assumpt!C15,0)</f>
        <v>-4000</v>
      </c>
      <c r="E16" s="43">
        <f>-IF(3&lt;=Pressupostos_Assumpt!C13,Pressupostos_Assumpt!C15,0)</f>
        <v>-4000</v>
      </c>
      <c r="F16" s="43">
        <f>-IF(4&lt;=Pressupostos_Assumpt!C13,Pressupostos_Assumpt!C15,0)</f>
        <v>-4000</v>
      </c>
      <c r="G16" s="43">
        <f>-IF(5&lt;=Pressupostos_Assumpt!C13,Pressupostos_Assumpt!C15,0)</f>
        <v>-4000</v>
      </c>
      <c r="H16" s="43">
        <f>-IF(6&lt;=Pressupostos_Assumpt!C13,Pressupostos_Assumpt!C15,0)</f>
        <v>-4000</v>
      </c>
      <c r="I16" s="43">
        <f>-IF(7&lt;=Pressupostos_Assumpt!C13,Pressupostos_Assumpt!C15,0)</f>
        <v>-4000</v>
      </c>
    </row>
    <row r="17" spans="2:9" x14ac:dyDescent="0.2">
      <c r="B17" s="50" t="s">
        <v>227</v>
      </c>
      <c r="C17" s="7">
        <f>-Financiamento_Loan!C98</f>
        <v>-2735.5270815680892</v>
      </c>
      <c r="D17" s="7">
        <f>-Financiamento_Loan!C99</f>
        <v>-2403.7184973603867</v>
      </c>
      <c r="E17" s="7">
        <f>-Financiamento_Loan!C100</f>
        <v>-2044.3699643089453</v>
      </c>
      <c r="F17" s="7">
        <f>-Financiamento_Loan!C101</f>
        <v>-1655.195680242233</v>
      </c>
      <c r="G17" s="7">
        <f>-Financiamento_Loan!C102</f>
        <v>-1233.7201225358172</v>
      </c>
      <c r="H17" s="7">
        <f>-Financiamento_Loan!C103</f>
        <v>-777.26230140834809</v>
      </c>
      <c r="I17" s="7">
        <f>-Financiamento_Loan!C104</f>
        <v>-282.91870624886866</v>
      </c>
    </row>
    <row r="18" spans="2:9" x14ac:dyDescent="0.2">
      <c r="B18" s="51" t="s">
        <v>243</v>
      </c>
      <c r="C18" s="52">
        <f t="shared" ref="C18:I18" si="2">C15+C16+C17</f>
        <v>6102.3878517652502</v>
      </c>
      <c r="D18" s="52">
        <f t="shared" si="2"/>
        <v>6928.8338839729549</v>
      </c>
      <c r="E18" s="52">
        <f t="shared" si="2"/>
        <v>7797.6589884643909</v>
      </c>
      <c r="F18" s="52">
        <f t="shared" si="2"/>
        <v>8711.5941411143067</v>
      </c>
      <c r="G18" s="52">
        <f t="shared" si="2"/>
        <v>9673.5733934614163</v>
      </c>
      <c r="H18" s="52">
        <f t="shared" si="2"/>
        <v>10686.750020068805</v>
      </c>
      <c r="I18" s="52">
        <f t="shared" si="2"/>
        <v>11754.513984872598</v>
      </c>
    </row>
    <row r="19" spans="2:9" x14ac:dyDescent="0.2">
      <c r="B19" s="15" t="s">
        <v>244</v>
      </c>
      <c r="C19" s="43">
        <f>-IF(C18&gt;0,C18*Pressupostos_Assumpt!C56,0)</f>
        <v>-976.38205628244009</v>
      </c>
      <c r="D19" s="43">
        <f>-IF(D18&gt;0,D18*Pressupostos_Assumpt!C56,0)</f>
        <v>-1108.6134214356728</v>
      </c>
      <c r="E19" s="43">
        <f>-IF(E18&gt;0,E18*Pressupostos_Assumpt!C56,0)</f>
        <v>-1247.6254381543026</v>
      </c>
      <c r="F19" s="43">
        <f>-IF(F18&gt;0,F18*Pressupostos_Assumpt!C56,0)</f>
        <v>-1393.8550625782891</v>
      </c>
      <c r="G19" s="43">
        <f>-IF(G18&gt;0,G18*Pressupostos_Assumpt!C56,0)</f>
        <v>-1547.7717429538266</v>
      </c>
      <c r="H19" s="43">
        <f>-IF(H18&gt;0,H18*Pressupostos_Assumpt!C56,0)</f>
        <v>-1709.8800032110087</v>
      </c>
      <c r="I19" s="43">
        <f>-IF(I18&gt;0,I18*Pressupostos_Assumpt!C56,0)</f>
        <v>-1880.7222375796157</v>
      </c>
    </row>
    <row r="20" spans="2:9" x14ac:dyDescent="0.2">
      <c r="B20" s="53" t="s">
        <v>342</v>
      </c>
      <c r="C20" s="48">
        <f t="shared" ref="C20:I20" si="3">C18+C19</f>
        <v>5126.0057954828098</v>
      </c>
      <c r="D20" s="48">
        <f t="shared" si="3"/>
        <v>5820.2204625372824</v>
      </c>
      <c r="E20" s="48">
        <f t="shared" si="3"/>
        <v>6550.0335503100887</v>
      </c>
      <c r="F20" s="48">
        <f t="shared" si="3"/>
        <v>7317.7390785360176</v>
      </c>
      <c r="G20" s="48">
        <f t="shared" si="3"/>
        <v>8125.8016505075902</v>
      </c>
      <c r="H20" s="48">
        <f t="shared" si="3"/>
        <v>8976.8700168577961</v>
      </c>
      <c r="I20" s="48">
        <f t="shared" si="3"/>
        <v>9873.7917472929821</v>
      </c>
    </row>
    <row r="21" spans="2:9" x14ac:dyDescent="0.2">
      <c r="B21" s="47" t="s">
        <v>343</v>
      </c>
      <c r="C21" s="44">
        <f>C20</f>
        <v>5126.0057954828098</v>
      </c>
      <c r="D21" s="44">
        <f t="shared" ref="D21:I21" si="4">C21+D20</f>
        <v>10946.226258020091</v>
      </c>
      <c r="E21" s="44">
        <f t="shared" si="4"/>
        <v>17496.259808330178</v>
      </c>
      <c r="F21" s="44">
        <f t="shared" si="4"/>
        <v>24813.998886866197</v>
      </c>
      <c r="G21" s="44">
        <f t="shared" si="4"/>
        <v>32939.800537373783</v>
      </c>
      <c r="H21" s="44">
        <f t="shared" si="4"/>
        <v>41916.670554231576</v>
      </c>
      <c r="I21" s="44">
        <f t="shared" si="4"/>
        <v>51790.46230152456</v>
      </c>
    </row>
    <row r="22" spans="2:9" ht="28" x14ac:dyDescent="0.2">
      <c r="B22" s="54" t="s">
        <v>344</v>
      </c>
      <c r="C22" s="55">
        <f>C21+((C7)-(Pressupostos_Assumpt!C7-Pressupostos_Assumpt!C15*MIN(1,Pressupostos_Assumpt!C13)))*(1-Pressupostos_Assumpt!C56)</f>
        <v>4205.6009954828087</v>
      </c>
      <c r="D22" s="55">
        <f>D21+((D7)-(Pressupostos_Assumpt!C7-Pressupostos_Assumpt!C15*MIN(2,Pressupostos_Assumpt!C13)))*(1-Pressupostos_Assumpt!C56)</f>
        <v>9105.416658020089</v>
      </c>
      <c r="E22" s="55">
        <f>E21+((E7)-(Pressupostos_Assumpt!C7-Pressupostos_Assumpt!C15*MIN(3,Pressupostos_Assumpt!C13)))*(1-Pressupostos_Assumpt!C56)</f>
        <v>14735.045408330177</v>
      </c>
      <c r="F22" s="55">
        <f>F21+((F7)-(Pressupostos_Assumpt!C7-Pressupostos_Assumpt!C15*MIN(4,Pressupostos_Assumpt!C13)))*(1-Pressupostos_Assumpt!C56)</f>
        <v>21132.379686866196</v>
      </c>
      <c r="G22" s="55">
        <f>G21+((G7)-(Pressupostos_Assumpt!C7-Pressupostos_Assumpt!C15*MIN(5,Pressupostos_Assumpt!C13)))*(1-Pressupostos_Assumpt!C56)</f>
        <v>28337.776537373782</v>
      </c>
      <c r="H22" s="55">
        <f>H21+((H7)-(Pressupostos_Assumpt!C7-Pressupostos_Assumpt!C15*MIN(6,Pressupostos_Assumpt!C13)))*(1-Pressupostos_Assumpt!C56)</f>
        <v>36394.241754231574</v>
      </c>
      <c r="I22" s="55">
        <f>I21+((I7)-(Pressupostos_Assumpt!C7-Pressupostos_Assumpt!C15*MIN(7,Pressupostos_Assumpt!C13)))*(1-Pressupostos_Assumpt!C56)</f>
        <v>49270.46230152456</v>
      </c>
    </row>
    <row r="23" spans="2:9" x14ac:dyDescent="0.2">
      <c r="B23" s="15" t="s">
        <v>345</v>
      </c>
      <c r="C23" s="43" t="str">
        <f>"-"</f>
        <v>-</v>
      </c>
      <c r="D23" s="43">
        <f t="shared" ref="D23:I23" si="5">D22-C22</f>
        <v>4899.8156625372803</v>
      </c>
      <c r="E23" s="43">
        <f t="shared" si="5"/>
        <v>5629.6287503100884</v>
      </c>
      <c r="F23" s="43">
        <f t="shared" si="5"/>
        <v>6397.3342785360182</v>
      </c>
      <c r="G23" s="43">
        <f t="shared" si="5"/>
        <v>7205.3968505075864</v>
      </c>
      <c r="H23" s="43">
        <f t="shared" si="5"/>
        <v>8056.4652168577923</v>
      </c>
      <c r="I23" s="43">
        <f t="shared" si="5"/>
        <v>12876.220547292985</v>
      </c>
    </row>
    <row r="26" spans="2:9" ht="18" x14ac:dyDescent="0.2">
      <c r="B26" s="13" t="s">
        <v>346</v>
      </c>
    </row>
    <row r="27" spans="2:9" x14ac:dyDescent="0.2">
      <c r="B27" s="6" t="s">
        <v>347</v>
      </c>
      <c r="C27" s="78">
        <f>ROUNDUP((Pressupostos_Assumpt!C61-Pressupostos_Assumpt!C59)/Quilometragem_Mileage!C8,0)</f>
        <v>4</v>
      </c>
    </row>
    <row r="28" spans="2:9" x14ac:dyDescent="0.2">
      <c r="B28" s="50" t="s">
        <v>348</v>
      </c>
      <c r="C28" s="77">
        <f>INDEX(C6:I6,$C$27)</f>
        <v>212176</v>
      </c>
    </row>
    <row r="29" spans="2:9" x14ac:dyDescent="0.2">
      <c r="B29" s="47" t="s">
        <v>349</v>
      </c>
      <c r="C29" s="44">
        <f>INDEX(C7:I7,$C$27)</f>
        <v>19617.12</v>
      </c>
    </row>
    <row r="30" spans="2:9" x14ac:dyDescent="0.2">
      <c r="B30" s="15" t="s">
        <v>350</v>
      </c>
      <c r="C30" s="43">
        <f>Pressupostos_Assumpt!C7-Pressupostos_Assumpt!C15*MIN($C$27,Pressupostos_Assumpt!C13)</f>
        <v>24000</v>
      </c>
    </row>
    <row r="31" spans="2:9" x14ac:dyDescent="0.2">
      <c r="B31" s="15" t="s">
        <v>351</v>
      </c>
      <c r="C31" s="43">
        <f>INDEX(C7:I7,$C$27)-(Pressupostos_Assumpt!C7-Pressupostos_Assumpt!C15*MIN($C$27,Pressupostos_Assumpt!C13))</f>
        <v>-4382.880000000001</v>
      </c>
    </row>
    <row r="32" spans="2:9" x14ac:dyDescent="0.2">
      <c r="B32" s="15" t="s">
        <v>352</v>
      </c>
      <c r="C32" s="43">
        <f>-(INDEX(C7:I7,$C$27)-(Pressupostos_Assumpt!C7-Pressupostos_Assumpt!C15*MIN($C$27,Pressupostos_Assumpt!C13)))*Pressupostos_Assumpt!C56</f>
        <v>701.26080000000013</v>
      </c>
    </row>
    <row r="33" spans="2:9" x14ac:dyDescent="0.2">
      <c r="B33" s="15" t="s">
        <v>353</v>
      </c>
      <c r="C33" s="43">
        <f>-INDEX(C10:I10,$C$27)</f>
        <v>-17905.832735666681</v>
      </c>
    </row>
    <row r="34" spans="2:9" ht="28" x14ac:dyDescent="0.2">
      <c r="B34" s="53" t="s">
        <v>354</v>
      </c>
      <c r="C34" s="48">
        <f>INDEX(C7:I7,$C$27)-INDEX(C10:I10,$C$27)-(INDEX(C7:I7,$C$27)-(Pressupostos_Assumpt!C7-Pressupostos_Assumpt!C15*MIN($C$27,Pressupostos_Assumpt!C13)))*Pressupostos_Assumpt!C56</f>
        <v>2412.5480643333176</v>
      </c>
    </row>
    <row r="35" spans="2:9" ht="28" x14ac:dyDescent="0.2">
      <c r="B35" s="50" t="s">
        <v>355</v>
      </c>
      <c r="C35" s="7">
        <f>INDEX(C21:I21,$C$27)</f>
        <v>24813.998886866197</v>
      </c>
    </row>
    <row r="36" spans="2:9" ht="28" x14ac:dyDescent="0.2">
      <c r="B36" s="54" t="s">
        <v>344</v>
      </c>
      <c r="C36" s="55">
        <f>INDEX(C22:I22,$C$27)</f>
        <v>21132.379686866196</v>
      </c>
    </row>
    <row r="38" spans="2:9" x14ac:dyDescent="0.2">
      <c r="B38" s="12" t="s">
        <v>356</v>
      </c>
    </row>
    <row r="39" spans="2:9" x14ac:dyDescent="0.2">
      <c r="B39" s="12" t="s">
        <v>357</v>
      </c>
    </row>
    <row r="41" spans="2:9" x14ac:dyDescent="0.2">
      <c r="B41" s="4" t="s">
        <v>358</v>
      </c>
      <c r="C41" s="29" t="s">
        <v>265</v>
      </c>
      <c r="D41" s="29" t="s">
        <v>235</v>
      </c>
      <c r="E41" s="29" t="s">
        <v>236</v>
      </c>
      <c r="F41" s="29" t="s">
        <v>237</v>
      </c>
      <c r="G41" s="29" t="s">
        <v>238</v>
      </c>
      <c r="H41" s="29" t="s">
        <v>239</v>
      </c>
      <c r="I41" s="29" t="s">
        <v>325</v>
      </c>
    </row>
    <row r="42" spans="2:9" ht="28" x14ac:dyDescent="0.2">
      <c r="B42" s="15" t="s">
        <v>359</v>
      </c>
      <c r="C42" s="43">
        <f>C15+C19</f>
        <v>11861.532877050899</v>
      </c>
      <c r="D42" s="43">
        <f t="shared" ref="D42:I42" si="6">C42+D15+D19</f>
        <v>24085.471836948571</v>
      </c>
      <c r="E42" s="43">
        <f t="shared" si="6"/>
        <v>36679.8753515676</v>
      </c>
      <c r="F42" s="43">
        <f t="shared" si="6"/>
        <v>49652.810110345854</v>
      </c>
      <c r="G42" s="43">
        <f t="shared" si="6"/>
        <v>63012.331883389263</v>
      </c>
      <c r="H42" s="43">
        <f t="shared" si="6"/>
        <v>76766.464201655399</v>
      </c>
      <c r="I42" s="43">
        <f t="shared" si="6"/>
        <v>90923.174655197246</v>
      </c>
    </row>
    <row r="43" spans="2:9" x14ac:dyDescent="0.2">
      <c r="B43" s="50" t="s">
        <v>258</v>
      </c>
      <c r="C43" s="7">
        <f t="shared" ref="C43:I43" si="7">C7</f>
        <v>34904.28</v>
      </c>
      <c r="D43" s="7">
        <f t="shared" si="7"/>
        <v>29808.559999999998</v>
      </c>
      <c r="E43" s="7">
        <f t="shared" si="7"/>
        <v>24712.84</v>
      </c>
      <c r="F43" s="7">
        <f t="shared" si="7"/>
        <v>19617.12</v>
      </c>
      <c r="G43" s="7">
        <f t="shared" si="7"/>
        <v>14521.399999999998</v>
      </c>
      <c r="H43" s="7">
        <f t="shared" si="7"/>
        <v>9425.68</v>
      </c>
      <c r="I43" s="7">
        <f t="shared" si="7"/>
        <v>9000</v>
      </c>
    </row>
    <row r="44" spans="2:9" ht="28" x14ac:dyDescent="0.2">
      <c r="B44" s="50" t="s">
        <v>360</v>
      </c>
      <c r="C44" s="7">
        <f>-Pressupostos_Assumpt!C7-(Financiamento_Loan!C98)</f>
        <v>-42735.527081568092</v>
      </c>
      <c r="D44" s="7">
        <f>-Pressupostos_Assumpt!C7-(Financiamento_Loan!C98+Financiamento_Loan!C99)</f>
        <v>-45139.245578928472</v>
      </c>
      <c r="E44" s="7">
        <f>-Pressupostos_Assumpt!C7-(Financiamento_Loan!C98+Financiamento_Loan!C99+Financiamento_Loan!C100)</f>
        <v>-47183.615543237422</v>
      </c>
      <c r="F44" s="7">
        <f>-Pressupostos_Assumpt!C7-(Financiamento_Loan!C98+Financiamento_Loan!C99+Financiamento_Loan!C100+Financiamento_Loan!C101)</f>
        <v>-48838.811223479657</v>
      </c>
      <c r="G44" s="7">
        <f>-Pressupostos_Assumpt!C7-(Financiamento_Loan!C98+Financiamento_Loan!C99+Financiamento_Loan!C100+Financiamento_Loan!C101+Financiamento_Loan!C102)</f>
        <v>-50072.531346015472</v>
      </c>
      <c r="H44" s="7">
        <f>-Pressupostos_Assumpt!C7-(Financiamento_Loan!C98+Financiamento_Loan!C99+Financiamento_Loan!C100+Financiamento_Loan!C101+Financiamento_Loan!C102+Financiamento_Loan!C103)</f>
        <v>-50849.793647423823</v>
      </c>
      <c r="I44" s="7">
        <f>-Pressupostos_Assumpt!C7-(Financiamento_Loan!C98+Financiamento_Loan!C99+Financiamento_Loan!C100+Financiamento_Loan!C101+Financiamento_Loan!C102+Financiamento_Loan!C103+Financiamento_Loan!C104)</f>
        <v>-51132.712353672687</v>
      </c>
    </row>
    <row r="45" spans="2:9" x14ac:dyDescent="0.2">
      <c r="B45" s="53" t="s">
        <v>260</v>
      </c>
      <c r="C45" s="48">
        <f t="shared" ref="C45:I45" si="8">C42+C43+C44</f>
        <v>4030.2857954828069</v>
      </c>
      <c r="D45" s="48">
        <f t="shared" si="8"/>
        <v>8754.7862580200963</v>
      </c>
      <c r="E45" s="48">
        <f t="shared" si="8"/>
        <v>14209.099808330182</v>
      </c>
      <c r="F45" s="48">
        <f t="shared" si="8"/>
        <v>20431.118886866199</v>
      </c>
      <c r="G45" s="48">
        <f t="shared" si="8"/>
        <v>27461.200537373792</v>
      </c>
      <c r="H45" s="48">
        <f t="shared" si="8"/>
        <v>35342.350554231583</v>
      </c>
      <c r="I45" s="48">
        <f t="shared" si="8"/>
        <v>48790.46230152456</v>
      </c>
    </row>
    <row r="47" spans="2:9" x14ac:dyDescent="0.2">
      <c r="B47" s="12" t="s">
        <v>361</v>
      </c>
    </row>
    <row r="48" spans="2:9" x14ac:dyDescent="0.2">
      <c r="B48" s="12" t="s">
        <v>362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Capa_Cover</vt:lpstr>
      <vt:lpstr>Pressupostos_Assumpt</vt:lpstr>
      <vt:lpstr>Financiamento_Loan</vt:lpstr>
      <vt:lpstr>Receita_Revenue</vt:lpstr>
      <vt:lpstr>Custos_Costs</vt:lpstr>
      <vt:lpstr>DRE_PL</vt:lpstr>
      <vt:lpstr>Resumo_Multianual</vt:lpstr>
      <vt:lpstr>Tesouraria_CashFlow</vt:lpstr>
      <vt:lpstr>PontoCritico_BreakEven</vt:lpstr>
      <vt:lpstr>Sensibilidades</vt:lpstr>
      <vt:lpstr>Quilometragem_Mileage</vt:lpstr>
      <vt:lpstr>Venda_Resale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Manuel Veríssimo de Campos Ribeiro Carreira</cp:lastModifiedBy>
  <cp:revision>1</cp:revision>
  <dcterms:created xsi:type="dcterms:W3CDTF">2026-06-28T10:34:11Z</dcterms:created>
  <dcterms:modified xsi:type="dcterms:W3CDTF">2026-06-30T00:28:30Z</dcterms:modified>
  <dc:language>en-US</dc:language>
</cp:coreProperties>
</file>