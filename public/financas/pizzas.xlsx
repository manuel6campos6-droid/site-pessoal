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nuelcarreira/Desktop/"/>
    </mc:Choice>
  </mc:AlternateContent>
  <xr:revisionPtr revIDLastSave="0" documentId="8_{DED319D1-D513-4A4B-971F-2E7C2CE6E64E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Capa" sheetId="1" r:id="rId1"/>
    <sheet name="Pressupostos" sheetId="2" r:id="rId2"/>
    <sheet name="Maquinas" sheetId="3" r:id="rId3"/>
    <sheet name="Eventos" sheetId="4" r:id="rId4"/>
    <sheet name="Financiamento" sheetId="5" r:id="rId5"/>
    <sheet name="Receita" sheetId="6" r:id="rId6"/>
    <sheet name="Custos" sheetId="7" r:id="rId7"/>
    <sheet name="DRE" sheetId="8" r:id="rId8"/>
    <sheet name="ResumoMultianual" sheetId="9" r:id="rId9"/>
    <sheet name="Tesouraria" sheetId="10" r:id="rId10"/>
    <sheet name="PontoCritico" sheetId="11" r:id="rId11"/>
    <sheet name="Sensibilidades" sheetId="12" r:id="rId12"/>
    <sheet name="ROI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1" l="1"/>
  <c r="G11" i="11"/>
  <c r="E17" i="11"/>
  <c r="C19" i="11"/>
  <c r="C6" i="11"/>
  <c r="N16" i="7"/>
  <c r="M16" i="7"/>
  <c r="L16" i="7"/>
  <c r="K16" i="7"/>
  <c r="J16" i="7"/>
  <c r="I16" i="7"/>
  <c r="H16" i="7"/>
  <c r="G16" i="7"/>
  <c r="F16" i="7"/>
  <c r="E16" i="7"/>
  <c r="D16" i="7"/>
  <c r="C16" i="7"/>
  <c r="S14" i="7"/>
  <c r="R14" i="7"/>
  <c r="Q14" i="7"/>
  <c r="P14" i="7"/>
  <c r="N14" i="7"/>
  <c r="M14" i="7"/>
  <c r="L14" i="7"/>
  <c r="K14" i="7"/>
  <c r="J14" i="7"/>
  <c r="I14" i="7"/>
  <c r="H14" i="7"/>
  <c r="G14" i="7"/>
  <c r="F14" i="7"/>
  <c r="E14" i="7"/>
  <c r="O14" i="7" s="1"/>
  <c r="D14" i="7"/>
  <c r="C14" i="7"/>
  <c r="S13" i="7"/>
  <c r="R13" i="7"/>
  <c r="Q13" i="7"/>
  <c r="P13" i="7"/>
  <c r="N13" i="7"/>
  <c r="M13" i="7"/>
  <c r="L13" i="7"/>
  <c r="K13" i="7"/>
  <c r="J13" i="7"/>
  <c r="I13" i="7"/>
  <c r="H13" i="7"/>
  <c r="G13" i="7"/>
  <c r="F13" i="7"/>
  <c r="O13" i="7" s="1"/>
  <c r="E13" i="7"/>
  <c r="D13" i="7"/>
  <c r="C13" i="7"/>
  <c r="S12" i="7"/>
  <c r="R12" i="7"/>
  <c r="Q12" i="7"/>
  <c r="P12" i="7"/>
  <c r="N12" i="7"/>
  <c r="M12" i="7"/>
  <c r="L12" i="7"/>
  <c r="K12" i="7"/>
  <c r="J12" i="7"/>
  <c r="I12" i="7"/>
  <c r="H12" i="7"/>
  <c r="G12" i="7"/>
  <c r="O12" i="7" s="1"/>
  <c r="F12" i="7"/>
  <c r="E12" i="7"/>
  <c r="D12" i="7"/>
  <c r="C12" i="7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S5" i="6"/>
  <c r="R5" i="6"/>
  <c r="Q5" i="6"/>
  <c r="P5" i="6"/>
  <c r="N5" i="6"/>
  <c r="M5" i="6"/>
  <c r="L5" i="6"/>
  <c r="K5" i="6"/>
  <c r="J5" i="6"/>
  <c r="I5" i="6"/>
  <c r="H5" i="6"/>
  <c r="G5" i="6"/>
  <c r="F5" i="6"/>
  <c r="E5" i="6"/>
  <c r="D5" i="6"/>
  <c r="C5" i="6"/>
  <c r="O5" i="6" s="1"/>
  <c r="C5" i="5"/>
  <c r="H120" i="4"/>
  <c r="M119" i="4"/>
  <c r="O116" i="4"/>
  <c r="N116" i="4"/>
  <c r="O115" i="4"/>
  <c r="N115" i="4"/>
  <c r="O114" i="4"/>
  <c r="N114" i="4"/>
  <c r="O113" i="4"/>
  <c r="N113" i="4"/>
  <c r="O112" i="4"/>
  <c r="N15" i="7" s="1"/>
  <c r="N112" i="4"/>
  <c r="O111" i="4"/>
  <c r="N111" i="4"/>
  <c r="O110" i="4"/>
  <c r="M15" i="7" s="1"/>
  <c r="N110" i="4"/>
  <c r="M6" i="6" s="1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F6" i="6" s="1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P14" i="4" s="1"/>
  <c r="O13" i="4"/>
  <c r="N13" i="4"/>
  <c r="O12" i="4"/>
  <c r="N12" i="4"/>
  <c r="O11" i="4"/>
  <c r="N11" i="4"/>
  <c r="P10" i="4"/>
  <c r="O10" i="4"/>
  <c r="N10" i="4"/>
  <c r="O9" i="4"/>
  <c r="N9" i="4"/>
  <c r="O8" i="4"/>
  <c r="N8" i="4"/>
  <c r="O7" i="4"/>
  <c r="N7" i="4"/>
  <c r="P7" i="4" s="1"/>
  <c r="O6" i="4"/>
  <c r="N6" i="4"/>
  <c r="O5" i="4"/>
  <c r="N5" i="4"/>
  <c r="E18" i="3"/>
  <c r="E17" i="3"/>
  <c r="E19" i="3" s="1"/>
  <c r="L10" i="3"/>
  <c r="L9" i="3"/>
  <c r="L8" i="3"/>
  <c r="K7" i="3"/>
  <c r="J7" i="3"/>
  <c r="I7" i="3"/>
  <c r="H7" i="3"/>
  <c r="G7" i="3"/>
  <c r="G12" i="3" s="1"/>
  <c r="F7" i="3"/>
  <c r="L7" i="3" s="1"/>
  <c r="L6" i="3"/>
  <c r="K6" i="3"/>
  <c r="J6" i="3"/>
  <c r="I6" i="3"/>
  <c r="H6" i="3"/>
  <c r="G6" i="3"/>
  <c r="F6" i="3"/>
  <c r="K5" i="3"/>
  <c r="L5" i="3" s="1"/>
  <c r="J5" i="3"/>
  <c r="I5" i="3"/>
  <c r="H5" i="3"/>
  <c r="H12" i="3" s="1"/>
  <c r="G5" i="3"/>
  <c r="F5" i="3"/>
  <c r="C56" i="2"/>
  <c r="C51" i="2"/>
  <c r="C57" i="2" s="1"/>
  <c r="C23" i="2"/>
  <c r="C8" i="2"/>
  <c r="C5" i="11" s="1"/>
  <c r="F15" i="7" l="1"/>
  <c r="E15" i="7"/>
  <c r="M7" i="6"/>
  <c r="D15" i="7"/>
  <c r="C58" i="2"/>
  <c r="C71" i="2"/>
  <c r="C69" i="2"/>
  <c r="C19" i="13" s="1"/>
  <c r="Q7" i="7"/>
  <c r="I7" i="7"/>
  <c r="R7" i="7"/>
  <c r="H7" i="7"/>
  <c r="P7" i="7"/>
  <c r="G7" i="7"/>
  <c r="F7" i="7"/>
  <c r="N7" i="7"/>
  <c r="E7" i="7"/>
  <c r="M7" i="7"/>
  <c r="D7" i="7"/>
  <c r="L7" i="7"/>
  <c r="C7" i="7"/>
  <c r="K7" i="7"/>
  <c r="S7" i="7"/>
  <c r="J7" i="7"/>
  <c r="P8" i="7"/>
  <c r="H8" i="7"/>
  <c r="S8" i="7"/>
  <c r="J8" i="7"/>
  <c r="R8" i="7"/>
  <c r="I8" i="7"/>
  <c r="Q8" i="7"/>
  <c r="G8" i="7"/>
  <c r="F8" i="7"/>
  <c r="N8" i="7"/>
  <c r="E8" i="7"/>
  <c r="M8" i="7"/>
  <c r="D8" i="7"/>
  <c r="L8" i="7"/>
  <c r="C8" i="7"/>
  <c r="K8" i="7"/>
  <c r="P11" i="4"/>
  <c r="P21" i="4"/>
  <c r="P36" i="4"/>
  <c r="P43" i="4"/>
  <c r="P53" i="4"/>
  <c r="P68" i="4"/>
  <c r="P75" i="4"/>
  <c r="P85" i="4"/>
  <c r="K15" i="7"/>
  <c r="P100" i="4"/>
  <c r="L6" i="6"/>
  <c r="L7" i="6" s="1"/>
  <c r="P107" i="4"/>
  <c r="P33" i="4"/>
  <c r="P40" i="4"/>
  <c r="P47" i="4"/>
  <c r="P50" i="4"/>
  <c r="P54" i="4"/>
  <c r="P65" i="4"/>
  <c r="P72" i="4"/>
  <c r="J6" i="6"/>
  <c r="J7" i="6" s="1"/>
  <c r="P79" i="4"/>
  <c r="P82" i="4"/>
  <c r="P86" i="4"/>
  <c r="P97" i="4"/>
  <c r="P104" i="4"/>
  <c r="P111" i="4"/>
  <c r="P114" i="4"/>
  <c r="L15" i="3"/>
  <c r="C7" i="11"/>
  <c r="D6" i="6"/>
  <c r="D7" i="6" s="1"/>
  <c r="P8" i="4"/>
  <c r="P15" i="4"/>
  <c r="P18" i="4"/>
  <c r="L14" i="3"/>
  <c r="F12" i="3"/>
  <c r="P12" i="4"/>
  <c r="P19" i="4"/>
  <c r="P29" i="4"/>
  <c r="P44" i="4"/>
  <c r="P51" i="4"/>
  <c r="P61" i="4"/>
  <c r="J15" i="7"/>
  <c r="P76" i="4"/>
  <c r="P83" i="4"/>
  <c r="P93" i="4"/>
  <c r="P108" i="4"/>
  <c r="P115" i="4"/>
  <c r="M5" i="7"/>
  <c r="M9" i="6"/>
  <c r="P20" i="4"/>
  <c r="P27" i="4"/>
  <c r="P37" i="4"/>
  <c r="P52" i="4"/>
  <c r="P59" i="4"/>
  <c r="P69" i="4"/>
  <c r="P84" i="4"/>
  <c r="P91" i="4"/>
  <c r="P101" i="4"/>
  <c r="P116" i="4"/>
  <c r="F7" i="6"/>
  <c r="C8" i="11"/>
  <c r="P9" i="4"/>
  <c r="P26" i="4"/>
  <c r="P48" i="4"/>
  <c r="P58" i="4"/>
  <c r="P73" i="4"/>
  <c r="P87" i="4"/>
  <c r="P94" i="4"/>
  <c r="P105" i="4"/>
  <c r="I12" i="3"/>
  <c r="K12" i="3"/>
  <c r="P6" i="4"/>
  <c r="P17" i="4"/>
  <c r="P24" i="4"/>
  <c r="P31" i="4"/>
  <c r="P34" i="4"/>
  <c r="H6" i="6"/>
  <c r="H7" i="6" s="1"/>
  <c r="P49" i="4"/>
  <c r="P56" i="4"/>
  <c r="P63" i="4"/>
  <c r="P66" i="4"/>
  <c r="P70" i="4"/>
  <c r="P81" i="4"/>
  <c r="P88" i="4"/>
  <c r="P95" i="4"/>
  <c r="P98" i="4"/>
  <c r="P102" i="4"/>
  <c r="P113" i="4"/>
  <c r="C15" i="7"/>
  <c r="O122" i="4"/>
  <c r="E6" i="6"/>
  <c r="E7" i="6" s="1"/>
  <c r="P16" i="4"/>
  <c r="P23" i="4"/>
  <c r="P30" i="4"/>
  <c r="P41" i="4"/>
  <c r="P55" i="4"/>
  <c r="P62" i="4"/>
  <c r="P80" i="4"/>
  <c r="P90" i="4"/>
  <c r="N6" i="6"/>
  <c r="N7" i="6" s="1"/>
  <c r="P112" i="4"/>
  <c r="P5" i="4"/>
  <c r="C63" i="2"/>
  <c r="J12" i="3"/>
  <c r="P13" i="4"/>
  <c r="G6" i="6"/>
  <c r="G7" i="6" s="1"/>
  <c r="P35" i="4"/>
  <c r="P45" i="4"/>
  <c r="P60" i="4"/>
  <c r="P67" i="4"/>
  <c r="P77" i="4"/>
  <c r="P92" i="4"/>
  <c r="P99" i="4"/>
  <c r="P109" i="4"/>
  <c r="P25" i="4"/>
  <c r="P32" i="4"/>
  <c r="P39" i="4"/>
  <c r="P42" i="4"/>
  <c r="P46" i="4"/>
  <c r="P57" i="4"/>
  <c r="P64" i="4"/>
  <c r="P71" i="4"/>
  <c r="P74" i="4"/>
  <c r="P78" i="4"/>
  <c r="P89" i="4"/>
  <c r="K6" i="6"/>
  <c r="K7" i="6" s="1"/>
  <c r="P96" i="4"/>
  <c r="P103" i="4"/>
  <c r="P106" i="4"/>
  <c r="P16" i="7"/>
  <c r="O16" i="7"/>
  <c r="S16" i="7"/>
  <c r="R16" i="7"/>
  <c r="Q16" i="7"/>
  <c r="I6" i="6"/>
  <c r="I7" i="6" s="1"/>
  <c r="N121" i="4"/>
  <c r="L15" i="7"/>
  <c r="C6" i="6"/>
  <c r="C7" i="6" s="1"/>
  <c r="H15" i="7"/>
  <c r="I15" i="7"/>
  <c r="P22" i="4"/>
  <c r="P38" i="4"/>
  <c r="P110" i="4"/>
  <c r="G15" i="7"/>
  <c r="P28" i="4"/>
  <c r="C5" i="7" l="1"/>
  <c r="C9" i="6"/>
  <c r="K5" i="7"/>
  <c r="K9" i="6"/>
  <c r="G9" i="6"/>
  <c r="G5" i="7"/>
  <c r="H9" i="6"/>
  <c r="H5" i="7"/>
  <c r="Q15" i="7"/>
  <c r="P15" i="7"/>
  <c r="O15" i="7"/>
  <c r="S15" i="7"/>
  <c r="R15" i="7"/>
  <c r="E5" i="7"/>
  <c r="E9" i="6"/>
  <c r="L5" i="7"/>
  <c r="L9" i="6"/>
  <c r="O7" i="7"/>
  <c r="D5" i="7"/>
  <c r="D9" i="6"/>
  <c r="N5" i="7"/>
  <c r="N9" i="6"/>
  <c r="C9" i="5"/>
  <c r="C4" i="5"/>
  <c r="C66" i="2"/>
  <c r="F5" i="7"/>
  <c r="F9" i="6"/>
  <c r="N10" i="7"/>
  <c r="F10" i="7"/>
  <c r="L10" i="7"/>
  <c r="C10" i="7"/>
  <c r="K10" i="7"/>
  <c r="S10" i="7"/>
  <c r="J10" i="7"/>
  <c r="R10" i="7"/>
  <c r="I10" i="7"/>
  <c r="Q10" i="7"/>
  <c r="H10" i="7"/>
  <c r="P10" i="7"/>
  <c r="G10" i="7"/>
  <c r="E10" i="7"/>
  <c r="M10" i="7"/>
  <c r="D10" i="7"/>
  <c r="O11" i="8"/>
  <c r="O6" i="10" s="1"/>
  <c r="G11" i="8"/>
  <c r="G6" i="10" s="1"/>
  <c r="N11" i="8"/>
  <c r="N6" i="10" s="1"/>
  <c r="F11" i="8"/>
  <c r="F6" i="10" s="1"/>
  <c r="M11" i="8"/>
  <c r="M6" i="10" s="1"/>
  <c r="E11" i="8"/>
  <c r="E6" i="10" s="1"/>
  <c r="L11" i="8"/>
  <c r="L6" i="10" s="1"/>
  <c r="D11" i="8"/>
  <c r="D6" i="10" s="1"/>
  <c r="S11" i="8"/>
  <c r="S6" i="10" s="1"/>
  <c r="K11" i="8"/>
  <c r="K6" i="10" s="1"/>
  <c r="C11" i="8"/>
  <c r="C6" i="10" s="1"/>
  <c r="R11" i="8"/>
  <c r="R6" i="10" s="1"/>
  <c r="J11" i="8"/>
  <c r="J6" i="10" s="1"/>
  <c r="Q11" i="8"/>
  <c r="Q6" i="10" s="1"/>
  <c r="I11" i="8"/>
  <c r="I6" i="10" s="1"/>
  <c r="P11" i="8"/>
  <c r="P6" i="10" s="1"/>
  <c r="H11" i="8"/>
  <c r="H6" i="10" s="1"/>
  <c r="J5" i="7"/>
  <c r="J9" i="6"/>
  <c r="P123" i="4"/>
  <c r="M11" i="7"/>
  <c r="E11" i="7"/>
  <c r="N11" i="7"/>
  <c r="D11" i="7"/>
  <c r="L11" i="7"/>
  <c r="C11" i="7"/>
  <c r="K11" i="7"/>
  <c r="S11" i="7"/>
  <c r="J11" i="7"/>
  <c r="R11" i="7"/>
  <c r="I11" i="7"/>
  <c r="Q11" i="7"/>
  <c r="H11" i="7"/>
  <c r="P11" i="7"/>
  <c r="G11" i="7"/>
  <c r="F11" i="7"/>
  <c r="M12" i="6"/>
  <c r="M10" i="6"/>
  <c r="M11" i="6" s="1"/>
  <c r="R6" i="7"/>
  <c r="J6" i="7"/>
  <c r="P6" i="7"/>
  <c r="G6" i="7"/>
  <c r="F6" i="7"/>
  <c r="N6" i="7"/>
  <c r="E6" i="7"/>
  <c r="M6" i="7"/>
  <c r="D6" i="7"/>
  <c r="L6" i="7"/>
  <c r="C6" i="7"/>
  <c r="K6" i="7"/>
  <c r="S6" i="7"/>
  <c r="I6" i="7"/>
  <c r="Q6" i="7"/>
  <c r="Q17" i="7" s="1"/>
  <c r="Q8" i="8" s="1"/>
  <c r="H6" i="7"/>
  <c r="L12" i="3"/>
  <c r="O8" i="7"/>
  <c r="C6" i="13"/>
  <c r="C8" i="13" s="1"/>
  <c r="C12" i="13"/>
  <c r="S6" i="6"/>
  <c r="S7" i="6" s="1"/>
  <c r="P6" i="6"/>
  <c r="P7" i="6" s="1"/>
  <c r="O6" i="6"/>
  <c r="O7" i="6" s="1"/>
  <c r="R6" i="6"/>
  <c r="R7" i="6" s="1"/>
  <c r="Q6" i="6"/>
  <c r="Q7" i="6" s="1"/>
  <c r="I9" i="6"/>
  <c r="I5" i="7"/>
  <c r="G9" i="7"/>
  <c r="K9" i="7"/>
  <c r="S9" i="7"/>
  <c r="J9" i="7"/>
  <c r="R9" i="7"/>
  <c r="I9" i="7"/>
  <c r="Q9" i="7"/>
  <c r="H9" i="7"/>
  <c r="P9" i="7"/>
  <c r="F9" i="7"/>
  <c r="N9" i="7"/>
  <c r="E9" i="7"/>
  <c r="M9" i="7"/>
  <c r="D9" i="7"/>
  <c r="L9" i="7"/>
  <c r="C9" i="7"/>
  <c r="M6" i="8"/>
  <c r="M13" i="6" l="1"/>
  <c r="M5" i="8" s="1"/>
  <c r="M7" i="8" s="1"/>
  <c r="H10" i="6"/>
  <c r="H11" i="6" s="1"/>
  <c r="H12" i="6"/>
  <c r="E17" i="7"/>
  <c r="E8" i="8" s="1"/>
  <c r="P9" i="6"/>
  <c r="P5" i="7"/>
  <c r="I17" i="7"/>
  <c r="I8" i="8" s="1"/>
  <c r="N17" i="7"/>
  <c r="N8" i="8" s="1"/>
  <c r="L6" i="8"/>
  <c r="S17" i="7"/>
  <c r="S8" i="8" s="1"/>
  <c r="F17" i="7"/>
  <c r="F8" i="8" s="1"/>
  <c r="O10" i="7"/>
  <c r="E9" i="5"/>
  <c r="E12" i="6"/>
  <c r="E10" i="6"/>
  <c r="E11" i="6" s="1"/>
  <c r="K17" i="7"/>
  <c r="K8" i="8" s="1"/>
  <c r="G17" i="7"/>
  <c r="G8" i="8" s="1"/>
  <c r="J10" i="6"/>
  <c r="J11" i="6" s="1"/>
  <c r="J12" i="6"/>
  <c r="N10" i="6"/>
  <c r="N11" i="6" s="1"/>
  <c r="N12" i="6"/>
  <c r="E6" i="8"/>
  <c r="G6" i="8"/>
  <c r="O9" i="7"/>
  <c r="I6" i="8"/>
  <c r="C9" i="13"/>
  <c r="C17" i="7"/>
  <c r="C8" i="8" s="1"/>
  <c r="O6" i="7"/>
  <c r="O17" i="7" s="1"/>
  <c r="O8" i="8" s="1"/>
  <c r="P17" i="7"/>
  <c r="P8" i="8" s="1"/>
  <c r="O11" i="7"/>
  <c r="J6" i="8"/>
  <c r="N6" i="8"/>
  <c r="G10" i="6"/>
  <c r="G11" i="6" s="1"/>
  <c r="G12" i="6"/>
  <c r="D10" i="6"/>
  <c r="D11" i="6" s="1"/>
  <c r="D12" i="6"/>
  <c r="K12" i="6"/>
  <c r="K10" i="6"/>
  <c r="K11" i="6" s="1"/>
  <c r="Q9" i="6"/>
  <c r="Q5" i="7"/>
  <c r="D17" i="7"/>
  <c r="D8" i="8" s="1"/>
  <c r="R17" i="7"/>
  <c r="R8" i="8" s="1"/>
  <c r="F10" i="6"/>
  <c r="F11" i="6" s="1"/>
  <c r="F12" i="6"/>
  <c r="D6" i="8"/>
  <c r="K6" i="8"/>
  <c r="O5" i="7"/>
  <c r="O9" i="6"/>
  <c r="H6" i="8"/>
  <c r="S5" i="7"/>
  <c r="S9" i="6"/>
  <c r="I10" i="6"/>
  <c r="I11" i="6" s="1"/>
  <c r="I12" i="6"/>
  <c r="L17" i="7"/>
  <c r="L8" i="8" s="1"/>
  <c r="J17" i="7"/>
  <c r="J8" i="8" s="1"/>
  <c r="C11" i="11"/>
  <c r="C13" i="11" s="1"/>
  <c r="C16" i="11" s="1"/>
  <c r="C17" i="11" s="1"/>
  <c r="C18" i="11" s="1"/>
  <c r="C20" i="11" s="1"/>
  <c r="C5" i="12"/>
  <c r="D9" i="12"/>
  <c r="F5" i="12"/>
  <c r="G6" i="12"/>
  <c r="E6" i="12"/>
  <c r="C9" i="12"/>
  <c r="E5" i="12"/>
  <c r="F9" i="12"/>
  <c r="F7" i="12"/>
  <c r="F8" i="12"/>
  <c r="E8" i="12"/>
  <c r="C8" i="12"/>
  <c r="C6" i="12"/>
  <c r="C7" i="12"/>
  <c r="D5" i="12"/>
  <c r="E9" i="12"/>
  <c r="E7" i="12"/>
  <c r="G9" i="12"/>
  <c r="G7" i="12"/>
  <c r="G5" i="12"/>
  <c r="D8" i="12"/>
  <c r="D6" i="12"/>
  <c r="G8" i="12"/>
  <c r="F6" i="12"/>
  <c r="D7" i="12"/>
  <c r="R9" i="6"/>
  <c r="R5" i="7"/>
  <c r="H17" i="7"/>
  <c r="H8" i="8" s="1"/>
  <c r="M17" i="7"/>
  <c r="F6" i="8"/>
  <c r="C12" i="6"/>
  <c r="C10" i="6"/>
  <c r="C11" i="6" s="1"/>
  <c r="C12" i="11"/>
  <c r="C6" i="5"/>
  <c r="L12" i="6"/>
  <c r="L10" i="6"/>
  <c r="L11" i="6" s="1"/>
  <c r="L13" i="6" s="1"/>
  <c r="L5" i="8" s="1"/>
  <c r="C6" i="8"/>
  <c r="C18" i="7" l="1"/>
  <c r="C13" i="6"/>
  <c r="C5" i="8" s="1"/>
  <c r="N13" i="6"/>
  <c r="N5" i="8" s="1"/>
  <c r="N7" i="8" s="1"/>
  <c r="N9" i="8" s="1"/>
  <c r="N12" i="8" s="1"/>
  <c r="G13" i="6"/>
  <c r="G5" i="8" s="1"/>
  <c r="I18" i="7"/>
  <c r="E13" i="6"/>
  <c r="E5" i="8" s="1"/>
  <c r="N18" i="7"/>
  <c r="D18" i="7"/>
  <c r="E18" i="7"/>
  <c r="H13" i="6"/>
  <c r="H5" i="8" s="1"/>
  <c r="H7" i="8" s="1"/>
  <c r="H9" i="8" s="1"/>
  <c r="H12" i="8" s="1"/>
  <c r="H18" i="7"/>
  <c r="F13" i="6"/>
  <c r="F5" i="8" s="1"/>
  <c r="F7" i="8" s="1"/>
  <c r="F9" i="8" s="1"/>
  <c r="F12" i="8" s="1"/>
  <c r="J13" i="6"/>
  <c r="J5" i="8" s="1"/>
  <c r="J7" i="8" s="1"/>
  <c r="J9" i="8" s="1"/>
  <c r="J12" i="8" s="1"/>
  <c r="E7" i="8"/>
  <c r="E9" i="8" s="1"/>
  <c r="E12" i="8" s="1"/>
  <c r="C7" i="8"/>
  <c r="C9" i="8" s="1"/>
  <c r="C12" i="8" s="1"/>
  <c r="M8" i="8"/>
  <c r="M9" i="8" s="1"/>
  <c r="M18" i="7"/>
  <c r="O6" i="8"/>
  <c r="O18" i="7"/>
  <c r="D68" i="5"/>
  <c r="D60" i="5"/>
  <c r="D52" i="5"/>
  <c r="D44" i="5"/>
  <c r="D36" i="5"/>
  <c r="D28" i="5"/>
  <c r="D20" i="5"/>
  <c r="D12" i="5"/>
  <c r="D63" i="5"/>
  <c r="D55" i="5"/>
  <c r="D47" i="5"/>
  <c r="D39" i="5"/>
  <c r="D31" i="5"/>
  <c r="D23" i="5"/>
  <c r="D15" i="5"/>
  <c r="D66" i="5"/>
  <c r="D58" i="5"/>
  <c r="D50" i="5"/>
  <c r="D42" i="5"/>
  <c r="D34" i="5"/>
  <c r="D26" i="5"/>
  <c r="D18" i="5"/>
  <c r="D10" i="5"/>
  <c r="D61" i="5"/>
  <c r="D53" i="5"/>
  <c r="D45" i="5"/>
  <c r="D37" i="5"/>
  <c r="D29" i="5"/>
  <c r="D21" i="5"/>
  <c r="D13" i="5"/>
  <c r="D64" i="5"/>
  <c r="D56" i="5"/>
  <c r="D48" i="5"/>
  <c r="D40" i="5"/>
  <c r="D32" i="5"/>
  <c r="D24" i="5"/>
  <c r="D16" i="5"/>
  <c r="D67" i="5"/>
  <c r="D59" i="5"/>
  <c r="D51" i="5"/>
  <c r="D43" i="5"/>
  <c r="D35" i="5"/>
  <c r="D27" i="5"/>
  <c r="D19" i="5"/>
  <c r="D11" i="5"/>
  <c r="D62" i="5"/>
  <c r="D54" i="5"/>
  <c r="D46" i="5"/>
  <c r="D38" i="5"/>
  <c r="D30" i="5"/>
  <c r="D22" i="5"/>
  <c r="D14" i="5"/>
  <c r="D65" i="5"/>
  <c r="D57" i="5"/>
  <c r="D49" i="5"/>
  <c r="D41" i="5"/>
  <c r="D33" i="5"/>
  <c r="D25" i="5"/>
  <c r="D17" i="5"/>
  <c r="D9" i="5"/>
  <c r="F9" i="5" s="1"/>
  <c r="R6" i="8"/>
  <c r="R18" i="7"/>
  <c r="R10" i="6"/>
  <c r="R11" i="6" s="1"/>
  <c r="R12" i="6"/>
  <c r="S10" i="6"/>
  <c r="S11" i="6" s="1"/>
  <c r="S12" i="6"/>
  <c r="Q10" i="6"/>
  <c r="Q11" i="6" s="1"/>
  <c r="Q12" i="6"/>
  <c r="G7" i="8"/>
  <c r="G9" i="8" s="1"/>
  <c r="G12" i="8" s="1"/>
  <c r="P6" i="8"/>
  <c r="P18" i="7"/>
  <c r="S6" i="8"/>
  <c r="S18" i="7"/>
  <c r="P10" i="6"/>
  <c r="P11" i="6" s="1"/>
  <c r="P12" i="6"/>
  <c r="K13" i="6"/>
  <c r="K5" i="8" s="1"/>
  <c r="F18" i="7"/>
  <c r="O10" i="6"/>
  <c r="O11" i="6" s="1"/>
  <c r="O12" i="6"/>
  <c r="J18" i="7"/>
  <c r="L18" i="7"/>
  <c r="D13" i="6"/>
  <c r="D5" i="8" s="1"/>
  <c r="L7" i="8"/>
  <c r="L9" i="8" s="1"/>
  <c r="L12" i="8" s="1"/>
  <c r="I13" i="6"/>
  <c r="I5" i="8" s="1"/>
  <c r="K18" i="7"/>
  <c r="Q6" i="8"/>
  <c r="Q18" i="7"/>
  <c r="G18" i="7"/>
  <c r="C72" i="5"/>
  <c r="C13" i="8" s="1"/>
  <c r="Q13" i="6" l="1"/>
  <c r="Q5" i="8" s="1"/>
  <c r="N10" i="8"/>
  <c r="J10" i="8"/>
  <c r="P13" i="6"/>
  <c r="P5" i="8" s="1"/>
  <c r="D5" i="9" s="1"/>
  <c r="S13" i="6"/>
  <c r="S5" i="8" s="1"/>
  <c r="S7" i="8" s="1"/>
  <c r="S9" i="8" s="1"/>
  <c r="Q7" i="8"/>
  <c r="Q9" i="8" s="1"/>
  <c r="Q10" i="8" s="1"/>
  <c r="E7" i="9" s="1"/>
  <c r="E5" i="9"/>
  <c r="K7" i="8"/>
  <c r="K9" i="8" s="1"/>
  <c r="K12" i="8" s="1"/>
  <c r="C10" i="8"/>
  <c r="D7" i="8"/>
  <c r="D9" i="8" s="1"/>
  <c r="D12" i="8" s="1"/>
  <c r="C14" i="8"/>
  <c r="G10" i="8"/>
  <c r="R13" i="6"/>
  <c r="R5" i="8" s="1"/>
  <c r="H10" i="8"/>
  <c r="F10" i="8"/>
  <c r="C8" i="10"/>
  <c r="G9" i="5"/>
  <c r="C10" i="5" s="1"/>
  <c r="M12" i="8"/>
  <c r="M10" i="8"/>
  <c r="I7" i="8"/>
  <c r="I9" i="8" s="1"/>
  <c r="I12" i="8" s="1"/>
  <c r="O13" i="6"/>
  <c r="O5" i="8" s="1"/>
  <c r="L10" i="8"/>
  <c r="E10" i="8"/>
  <c r="P7" i="8" l="1"/>
  <c r="P9" i="8" s="1"/>
  <c r="K10" i="8"/>
  <c r="G5" i="9"/>
  <c r="O7" i="8"/>
  <c r="O9" i="8" s="1"/>
  <c r="C5" i="9"/>
  <c r="E10" i="5"/>
  <c r="C15" i="8"/>
  <c r="C16" i="8" s="1"/>
  <c r="C5" i="10" s="1"/>
  <c r="C7" i="10" s="1"/>
  <c r="C9" i="10" s="1"/>
  <c r="C10" i="10" s="1"/>
  <c r="I10" i="8"/>
  <c r="S12" i="8"/>
  <c r="G6" i="9"/>
  <c r="D10" i="8"/>
  <c r="P12" i="8"/>
  <c r="D6" i="9"/>
  <c r="R7" i="8"/>
  <c r="R9" i="8" s="1"/>
  <c r="R10" i="8" s="1"/>
  <c r="F7" i="9" s="1"/>
  <c r="F5" i="9"/>
  <c r="P10" i="8"/>
  <c r="D7" i="9" s="1"/>
  <c r="S10" i="8"/>
  <c r="G7" i="9" s="1"/>
  <c r="Q12" i="8"/>
  <c r="E6" i="9"/>
  <c r="H5" i="9" l="1"/>
  <c r="C6" i="9"/>
  <c r="O12" i="8"/>
  <c r="D72" i="5"/>
  <c r="D13" i="8" s="1"/>
  <c r="D14" i="8" s="1"/>
  <c r="F10" i="5"/>
  <c r="O10" i="8"/>
  <c r="C7" i="9" s="1"/>
  <c r="R12" i="8"/>
  <c r="F6" i="9"/>
  <c r="D15" i="8" l="1"/>
  <c r="D16" i="8" s="1"/>
  <c r="D5" i="10" s="1"/>
  <c r="D7" i="10" s="1"/>
  <c r="D9" i="10" s="1"/>
  <c r="D10" i="10" s="1"/>
  <c r="H6" i="9"/>
  <c r="D8" i="10"/>
  <c r="G10" i="5"/>
  <c r="C11" i="5" s="1"/>
  <c r="E11" i="5" l="1"/>
  <c r="E72" i="5" l="1"/>
  <c r="E13" i="8" s="1"/>
  <c r="E14" i="8" s="1"/>
  <c r="F11" i="5"/>
  <c r="E8" i="10" l="1"/>
  <c r="G11" i="5"/>
  <c r="C12" i="5" s="1"/>
  <c r="E15" i="8"/>
  <c r="E16" i="8" s="1"/>
  <c r="E5" i="10" s="1"/>
  <c r="E7" i="10" s="1"/>
  <c r="E9" i="10" s="1"/>
  <c r="E10" i="10" s="1"/>
  <c r="E12" i="5" l="1"/>
  <c r="F72" i="5" l="1"/>
  <c r="F13" i="8" s="1"/>
  <c r="F14" i="8" s="1"/>
  <c r="F12" i="5"/>
  <c r="F8" i="10" l="1"/>
  <c r="G12" i="5"/>
  <c r="C13" i="5" s="1"/>
  <c r="F15" i="8"/>
  <c r="F16" i="8" s="1"/>
  <c r="F5" i="10" s="1"/>
  <c r="F7" i="10" s="1"/>
  <c r="F9" i="10" s="1"/>
  <c r="F10" i="10" s="1"/>
  <c r="E13" i="5" l="1"/>
  <c r="G72" i="5" l="1"/>
  <c r="G13" i="8" s="1"/>
  <c r="G14" i="8" s="1"/>
  <c r="F13" i="5"/>
  <c r="G8" i="10" l="1"/>
  <c r="G13" i="5"/>
  <c r="C14" i="5" s="1"/>
  <c r="G15" i="8"/>
  <c r="G16" i="8" s="1"/>
  <c r="G5" i="10" s="1"/>
  <c r="G7" i="10" s="1"/>
  <c r="G9" i="10" s="1"/>
  <c r="G10" i="10" s="1"/>
  <c r="E14" i="5" l="1"/>
  <c r="H72" i="5" l="1"/>
  <c r="H13" i="8" s="1"/>
  <c r="H14" i="8" s="1"/>
  <c r="F14" i="5"/>
  <c r="H8" i="10" l="1"/>
  <c r="G14" i="5"/>
  <c r="C15" i="5" s="1"/>
  <c r="H15" i="8"/>
  <c r="H16" i="8" s="1"/>
  <c r="H5" i="10" s="1"/>
  <c r="H7" i="10" s="1"/>
  <c r="H9" i="10" s="1"/>
  <c r="H10" i="10" s="1"/>
  <c r="E15" i="5" l="1"/>
  <c r="I72" i="5" l="1"/>
  <c r="I13" i="8" s="1"/>
  <c r="I14" i="8" s="1"/>
  <c r="F15" i="5"/>
  <c r="I8" i="10" l="1"/>
  <c r="G15" i="5"/>
  <c r="C16" i="5" s="1"/>
  <c r="I15" i="8"/>
  <c r="I16" i="8" s="1"/>
  <c r="I5" i="10" s="1"/>
  <c r="I7" i="10" s="1"/>
  <c r="I9" i="10" s="1"/>
  <c r="I10" i="10" s="1"/>
  <c r="E16" i="5" l="1"/>
  <c r="J72" i="5" l="1"/>
  <c r="J13" i="8" s="1"/>
  <c r="J14" i="8" s="1"/>
  <c r="F16" i="5"/>
  <c r="J8" i="10" l="1"/>
  <c r="G16" i="5"/>
  <c r="C17" i="5" s="1"/>
  <c r="J15" i="8"/>
  <c r="J16" i="8" s="1"/>
  <c r="J5" i="10" s="1"/>
  <c r="J7" i="10" s="1"/>
  <c r="J9" i="10" s="1"/>
  <c r="J10" i="10" s="1"/>
  <c r="E17" i="5" l="1"/>
  <c r="K72" i="5" l="1"/>
  <c r="K13" i="8" s="1"/>
  <c r="K14" i="8" s="1"/>
  <c r="F17" i="5"/>
  <c r="K8" i="10" l="1"/>
  <c r="G17" i="5"/>
  <c r="C18" i="5" s="1"/>
  <c r="K15" i="8"/>
  <c r="K16" i="8" s="1"/>
  <c r="K5" i="10" s="1"/>
  <c r="K7" i="10" s="1"/>
  <c r="K9" i="10" s="1"/>
  <c r="K10" i="10" s="1"/>
  <c r="E18" i="5" l="1"/>
  <c r="L72" i="5" l="1"/>
  <c r="L13" i="8" s="1"/>
  <c r="L14" i="8" s="1"/>
  <c r="F18" i="5"/>
  <c r="L8" i="10" l="1"/>
  <c r="G18" i="5"/>
  <c r="C19" i="5" s="1"/>
  <c r="L15" i="8"/>
  <c r="L16" i="8" s="1"/>
  <c r="L5" i="10" s="1"/>
  <c r="L7" i="10" s="1"/>
  <c r="L9" i="10" s="1"/>
  <c r="L10" i="10" s="1"/>
  <c r="E19" i="5" l="1"/>
  <c r="M72" i="5" l="1"/>
  <c r="M13" i="8" s="1"/>
  <c r="M14" i="8" s="1"/>
  <c r="F19" i="5"/>
  <c r="M8" i="10" l="1"/>
  <c r="G19" i="5"/>
  <c r="C20" i="5" s="1"/>
  <c r="M15" i="8"/>
  <c r="M16" i="8" s="1"/>
  <c r="M5" i="10" s="1"/>
  <c r="M7" i="10" s="1"/>
  <c r="M9" i="10" s="1"/>
  <c r="M10" i="10" s="1"/>
  <c r="E20" i="5" l="1"/>
  <c r="N72" i="5" l="1"/>
  <c r="N13" i="8" s="1"/>
  <c r="N14" i="8" s="1"/>
  <c r="F20" i="5"/>
  <c r="C74" i="5"/>
  <c r="O13" i="8" s="1"/>
  <c r="O14" i="8" s="1"/>
  <c r="O15" i="8" l="1"/>
  <c r="O16" i="8" s="1"/>
  <c r="N8" i="10"/>
  <c r="C76" i="5"/>
  <c r="O8" i="10" s="1"/>
  <c r="G20" i="5"/>
  <c r="C21" i="5" s="1"/>
  <c r="N15" i="8"/>
  <c r="N16" i="8" s="1"/>
  <c r="N5" i="10" s="1"/>
  <c r="N7" i="10" s="1"/>
  <c r="N9" i="10" s="1"/>
  <c r="N10" i="10" s="1"/>
  <c r="C8" i="9" l="1"/>
  <c r="O5" i="10"/>
  <c r="O7" i="10" s="1"/>
  <c r="O9" i="10" s="1"/>
  <c r="D7" i="13" s="1"/>
  <c r="E21" i="5"/>
  <c r="F21" i="5" l="1"/>
  <c r="D8" i="13"/>
  <c r="C9" i="9"/>
  <c r="D9" i="13" l="1"/>
  <c r="G21" i="5"/>
  <c r="C22" i="5" s="1"/>
  <c r="E22" i="5" l="1"/>
  <c r="F22" i="5" l="1"/>
  <c r="G22" i="5" l="1"/>
  <c r="C23" i="5" s="1"/>
  <c r="E23" i="5" l="1"/>
  <c r="F23" i="5" l="1"/>
  <c r="G23" i="5" l="1"/>
  <c r="C24" i="5" s="1"/>
  <c r="E24" i="5" l="1"/>
  <c r="F24" i="5" l="1"/>
  <c r="G24" i="5" l="1"/>
  <c r="C25" i="5" s="1"/>
  <c r="E25" i="5" l="1"/>
  <c r="F25" i="5" l="1"/>
  <c r="G25" i="5" l="1"/>
  <c r="C26" i="5" s="1"/>
  <c r="E26" i="5" l="1"/>
  <c r="F26" i="5" s="1"/>
  <c r="G26" i="5"/>
  <c r="C27" i="5" s="1"/>
  <c r="E27" i="5" l="1"/>
  <c r="F27" i="5" s="1"/>
  <c r="G27" i="5" s="1"/>
  <c r="C28" i="5" s="1"/>
  <c r="E28" i="5" l="1"/>
  <c r="F28" i="5" s="1"/>
  <c r="G28" i="5" s="1"/>
  <c r="C29" i="5" s="1"/>
  <c r="E29" i="5" l="1"/>
  <c r="F29" i="5" s="1"/>
  <c r="G29" i="5" s="1"/>
  <c r="C30" i="5" s="1"/>
  <c r="E30" i="5" l="1"/>
  <c r="F30" i="5" s="1"/>
  <c r="G30" i="5" s="1"/>
  <c r="C31" i="5" s="1"/>
  <c r="E31" i="5" l="1"/>
  <c r="F31" i="5" s="1"/>
  <c r="G31" i="5" s="1"/>
  <c r="C32" i="5" s="1"/>
  <c r="E32" i="5" l="1"/>
  <c r="F32" i="5" l="1"/>
  <c r="D74" i="5"/>
  <c r="P13" i="8" s="1"/>
  <c r="P14" i="8" s="1"/>
  <c r="P15" i="8" l="1"/>
  <c r="P16" i="8" s="1"/>
  <c r="D76" i="5"/>
  <c r="P8" i="10" s="1"/>
  <c r="G32" i="5"/>
  <c r="C33" i="5" s="1"/>
  <c r="D8" i="9" l="1"/>
  <c r="P5" i="10"/>
  <c r="P7" i="10" s="1"/>
  <c r="P9" i="10" s="1"/>
  <c r="E33" i="5"/>
  <c r="F33" i="5" l="1"/>
  <c r="E7" i="13"/>
  <c r="P10" i="10"/>
  <c r="D9" i="9"/>
  <c r="E8" i="13" l="1"/>
  <c r="G33" i="5"/>
  <c r="C34" i="5" s="1"/>
  <c r="E34" i="5" l="1"/>
  <c r="E9" i="13"/>
  <c r="F34" i="5" l="1"/>
  <c r="G34" i="5" l="1"/>
  <c r="C35" i="5" s="1"/>
  <c r="E35" i="5" l="1"/>
  <c r="F35" i="5" l="1"/>
  <c r="G35" i="5" l="1"/>
  <c r="C36" i="5" s="1"/>
  <c r="E36" i="5" l="1"/>
  <c r="F36" i="5" l="1"/>
  <c r="G36" i="5" l="1"/>
  <c r="C37" i="5" s="1"/>
  <c r="E37" i="5" l="1"/>
  <c r="F37" i="5" l="1"/>
  <c r="G37" i="5" l="1"/>
  <c r="C38" i="5" s="1"/>
  <c r="E38" i="5" l="1"/>
  <c r="F38" i="5" s="1"/>
  <c r="G38" i="5" s="1"/>
  <c r="C39" i="5" s="1"/>
  <c r="E39" i="5" l="1"/>
  <c r="F39" i="5" s="1"/>
  <c r="G39" i="5"/>
  <c r="C40" i="5" s="1"/>
  <c r="E40" i="5" l="1"/>
  <c r="F40" i="5" s="1"/>
  <c r="G40" i="5" s="1"/>
  <c r="C41" i="5" s="1"/>
  <c r="E41" i="5" l="1"/>
  <c r="F41" i="5" s="1"/>
  <c r="G41" i="5" s="1"/>
  <c r="C42" i="5" s="1"/>
  <c r="E42" i="5" l="1"/>
  <c r="F42" i="5" s="1"/>
  <c r="G42" i="5" s="1"/>
  <c r="C43" i="5" s="1"/>
  <c r="E43" i="5" l="1"/>
  <c r="F43" i="5" s="1"/>
  <c r="G43" i="5" s="1"/>
  <c r="C44" i="5" s="1"/>
  <c r="E44" i="5" l="1"/>
  <c r="F44" i="5" l="1"/>
  <c r="E74" i="5"/>
  <c r="Q13" i="8" s="1"/>
  <c r="Q14" i="8" s="1"/>
  <c r="Q15" i="8" l="1"/>
  <c r="Q16" i="8" s="1"/>
  <c r="E76" i="5"/>
  <c r="Q8" i="10" s="1"/>
  <c r="G44" i="5"/>
  <c r="C45" i="5" s="1"/>
  <c r="E8" i="9" l="1"/>
  <c r="Q5" i="10"/>
  <c r="Q7" i="10" s="1"/>
  <c r="Q9" i="10" s="1"/>
  <c r="E45" i="5"/>
  <c r="F45" i="5" l="1"/>
  <c r="F7" i="13"/>
  <c r="Q10" i="10"/>
  <c r="E9" i="9"/>
  <c r="F8" i="13" l="1"/>
  <c r="G45" i="5"/>
  <c r="C46" i="5" s="1"/>
  <c r="E46" i="5" l="1"/>
  <c r="F9" i="13"/>
  <c r="F46" i="5" l="1"/>
  <c r="G46" i="5" l="1"/>
  <c r="C47" i="5" s="1"/>
  <c r="E47" i="5" l="1"/>
  <c r="F47" i="5" l="1"/>
  <c r="G47" i="5" l="1"/>
  <c r="C48" i="5" s="1"/>
  <c r="E48" i="5" l="1"/>
  <c r="F48" i="5" l="1"/>
  <c r="G48" i="5" l="1"/>
  <c r="C49" i="5" s="1"/>
  <c r="E49" i="5" l="1"/>
  <c r="F49" i="5" l="1"/>
  <c r="G49" i="5" l="1"/>
  <c r="C50" i="5" s="1"/>
  <c r="E50" i="5" l="1"/>
  <c r="F50" i="5" s="1"/>
  <c r="G50" i="5"/>
  <c r="C51" i="5" s="1"/>
  <c r="E51" i="5" l="1"/>
  <c r="F51" i="5" s="1"/>
  <c r="G51" i="5" s="1"/>
  <c r="C52" i="5" s="1"/>
  <c r="E52" i="5" l="1"/>
  <c r="F52" i="5" s="1"/>
  <c r="G52" i="5" s="1"/>
  <c r="C53" i="5" s="1"/>
  <c r="E53" i="5" l="1"/>
  <c r="F53" i="5" s="1"/>
  <c r="G53" i="5" s="1"/>
  <c r="C54" i="5" s="1"/>
  <c r="E54" i="5" l="1"/>
  <c r="F54" i="5" s="1"/>
  <c r="G54" i="5" s="1"/>
  <c r="C55" i="5" s="1"/>
  <c r="E55" i="5" l="1"/>
  <c r="F55" i="5" s="1"/>
  <c r="G55" i="5"/>
  <c r="C56" i="5" s="1"/>
  <c r="E56" i="5" l="1"/>
  <c r="F56" i="5" l="1"/>
  <c r="F74" i="5"/>
  <c r="R13" i="8" s="1"/>
  <c r="R14" i="8" s="1"/>
  <c r="R15" i="8" l="1"/>
  <c r="R16" i="8" s="1"/>
  <c r="F76" i="5"/>
  <c r="R8" i="10" s="1"/>
  <c r="G56" i="5"/>
  <c r="C57" i="5" s="1"/>
  <c r="F8" i="9" l="1"/>
  <c r="R5" i="10"/>
  <c r="R7" i="10" s="1"/>
  <c r="R9" i="10" s="1"/>
  <c r="E57" i="5"/>
  <c r="F57" i="5" l="1"/>
  <c r="G7" i="13"/>
  <c r="R10" i="10"/>
  <c r="F9" i="9"/>
  <c r="G8" i="13" l="1"/>
  <c r="G57" i="5"/>
  <c r="C58" i="5" s="1"/>
  <c r="E58" i="5" l="1"/>
  <c r="G9" i="13"/>
  <c r="F58" i="5" l="1"/>
  <c r="G58" i="5" l="1"/>
  <c r="C59" i="5" s="1"/>
  <c r="E59" i="5" l="1"/>
  <c r="F59" i="5" l="1"/>
  <c r="G59" i="5" l="1"/>
  <c r="C60" i="5" s="1"/>
  <c r="E60" i="5" l="1"/>
  <c r="F60" i="5" l="1"/>
  <c r="G60" i="5" l="1"/>
  <c r="C61" i="5" s="1"/>
  <c r="E61" i="5" l="1"/>
  <c r="F61" i="5" l="1"/>
  <c r="G61" i="5" l="1"/>
  <c r="C62" i="5" s="1"/>
  <c r="E62" i="5" l="1"/>
  <c r="F62" i="5" s="1"/>
  <c r="G62" i="5" s="1"/>
  <c r="C63" i="5" s="1"/>
  <c r="E63" i="5" l="1"/>
  <c r="F63" i="5" s="1"/>
  <c r="G63" i="5"/>
  <c r="C64" i="5" s="1"/>
  <c r="E64" i="5" l="1"/>
  <c r="F64" i="5" s="1"/>
  <c r="G64" i="5" s="1"/>
  <c r="C65" i="5" s="1"/>
  <c r="E65" i="5" l="1"/>
  <c r="F65" i="5" s="1"/>
  <c r="G65" i="5" s="1"/>
  <c r="C66" i="5" s="1"/>
  <c r="E66" i="5" l="1"/>
  <c r="F66" i="5" s="1"/>
  <c r="G66" i="5"/>
  <c r="C67" i="5" s="1"/>
  <c r="E67" i="5" l="1"/>
  <c r="F67" i="5" s="1"/>
  <c r="G67" i="5" s="1"/>
  <c r="C68" i="5" s="1"/>
  <c r="E68" i="5" l="1"/>
  <c r="F68" i="5" l="1"/>
  <c r="G74" i="5"/>
  <c r="S13" i="8" s="1"/>
  <c r="S14" i="8" s="1"/>
  <c r="S15" i="8" l="1"/>
  <c r="S16" i="8" s="1"/>
  <c r="G76" i="5"/>
  <c r="S8" i="10" s="1"/>
  <c r="G68" i="5"/>
  <c r="G8" i="9" l="1"/>
  <c r="S5" i="10"/>
  <c r="S7" i="10" s="1"/>
  <c r="S9" i="10" s="1"/>
  <c r="H7" i="13" l="1"/>
  <c r="S10" i="10"/>
  <c r="H8" i="9"/>
  <c r="G9" i="9"/>
  <c r="H8" i="13" l="1"/>
  <c r="C17" i="13"/>
  <c r="C13" i="13"/>
  <c r="C15" i="13" l="1"/>
  <c r="C14" i="13"/>
  <c r="C16" i="13"/>
  <c r="H9" i="13"/>
</calcChain>
</file>

<file path=xl/sharedStrings.xml><?xml version="1.0" encoding="utf-8"?>
<sst xmlns="http://schemas.openxmlformats.org/spreadsheetml/2006/main" count="1308" uniqueCount="720">
  <si>
    <t>MÁQUINAS DE VENDA DE PIZZA — FROTA / PIZZA VENDING FLEET</t>
  </si>
  <si>
    <t>Modelo Financeiro / Financial Model · Portugal Continental</t>
  </si>
  <si>
    <t>Máquinas fixas + móveis (circuito de feiras e festivais) / Fixed + mobile (fairs &amp; festivals circuit)</t>
  </si>
  <si>
    <t>Dados de referência: Adial Pizzadoor (custo/pizza, eletricidade, margem) / Reference data: Adial</t>
  </si>
  <si>
    <t>PARÂMETROS-CHAVE / KEY PARAMETERS</t>
  </si>
  <si>
    <t>Máquinas fixas / Fixed machines</t>
  </si>
  <si>
    <t>2</t>
  </si>
  <si>
    <t>Máquinas móveis (eventos) / Mobile machines</t>
  </si>
  <si>
    <t>1</t>
  </si>
  <si>
    <t>Preço por pizza (c/IVA) / Price (incl. VAT)</t>
  </si>
  <si>
    <t>€10.00 (Adial: €11)</t>
  </si>
  <si>
    <t>Custo por pizza / Cost per pizza (Adial)</t>
  </si>
  <si>
    <t>~€3.30</t>
  </si>
  <si>
    <t>Margem contribuição / Contribution</t>
  </si>
  <si>
    <t>~€5.6/pizza</t>
  </si>
  <si>
    <t>Pizzas/dia fixa / day, fixed</t>
  </si>
  <si>
    <t>20</t>
  </si>
  <si>
    <t>Pizzas/dia em evento / day, event</t>
  </si>
  <si>
    <t>90-200</t>
  </si>
  <si>
    <t>Investimento máquina / Machine CAPEX</t>
  </si>
  <si>
    <t>~€32,000 (estimativa - pedir orçamento)</t>
  </si>
  <si>
    <t>Financiamento / Financing</t>
  </si>
  <si>
    <t>80% · 8% · 5 anos</t>
  </si>
  <si>
    <t>IVA / VAT · IRC</t>
  </si>
  <si>
    <t>13% · 16%</t>
  </si>
  <si>
    <t>Revenda / Resale</t>
  </si>
  <si>
    <t>NÃO — máquinas mantidas / NO — kept</t>
  </si>
  <si>
    <t>ESTRUTURA / STRUCTURE</t>
  </si>
  <si>
    <t>1.  Pressupostos / Assumptions</t>
  </si>
  <si>
    <t>Inputs (frota, custos Adial, eventos)</t>
  </si>
  <si>
    <t>2.  Custos por Máquina / Per-machine</t>
  </si>
  <si>
    <t>Custo individual por máquina e local</t>
  </si>
  <si>
    <t>3.  Eventos / Events</t>
  </si>
  <si>
    <t>Calendário de feiras e festivais PT continental</t>
  </si>
  <si>
    <t>4.  Financiamento / Financing</t>
  </si>
  <si>
    <t>Amortização / Loan schedule</t>
  </si>
  <si>
    <t>5.  Receita / Revenue</t>
  </si>
  <si>
    <t>Fixas + circuito móvel / Fixed + mobile</t>
  </si>
  <si>
    <t>6.  Custos / Costs</t>
  </si>
  <si>
    <t>COGS + opex (da folha Máquinas) + eventos</t>
  </si>
  <si>
    <t>7.  DRE / P&amp;L</t>
  </si>
  <si>
    <t>Resultados / P&amp;L</t>
  </si>
  <si>
    <t>8.  Resumo Multianual / Multi-Year</t>
  </si>
  <si>
    <t>Ano 1-5</t>
  </si>
  <si>
    <t>9.  Tesouraria / Cash Flow</t>
  </si>
  <si>
    <t>Fluxo de caixa (sem revenda)</t>
  </si>
  <si>
    <t>10.  Ponto Crítico / Break-Even</t>
  </si>
  <si>
    <t>Pizzas/dia mínimas</t>
  </si>
  <si>
    <t>11.  Sensibilidades / Sensitivity</t>
  </si>
  <si>
    <t>Preço × volume</t>
  </si>
  <si>
    <t>12.  ROI</t>
  </si>
  <si>
    <t>Retorno do investidor (operação)</t>
  </si>
  <si>
    <t>Legenda: Azul=input · Verde=referência · Preto=fórmula · Amarelo=pressuposto-chave</t>
  </si>
  <si>
    <t>PRESSUPOSTOS / ASSUMPTIONS</t>
  </si>
  <si>
    <t>Edite as células azuis. Custos de produção baseados na Adial Pizzadoor. / Edit blue cells. Production costs per Adial.</t>
  </si>
  <si>
    <t>A. RECEITA / REVENUE</t>
  </si>
  <si>
    <t>Parâmetro / Parameter</t>
  </si>
  <si>
    <t>Valor / Value</t>
  </si>
  <si>
    <t>Unidade / Unit</t>
  </si>
  <si>
    <t>Fonte-Nota / Source-Note</t>
  </si>
  <si>
    <t>Preço por pizza (consumidor, c/IVA) / Price incl. VAT</t>
  </si>
  <si>
    <t>€</t>
  </si>
  <si>
    <t>Adial usa €11; PT ajustável</t>
  </si>
  <si>
    <t>Taxa de IVA / VAT rate</t>
  </si>
  <si>
    <t>%</t>
  </si>
  <si>
    <t>Taxa intermédia restauração - confirmar</t>
  </si>
  <si>
    <t>Preço líquido s/IVA / Net price</t>
  </si>
  <si>
    <t>Calculado</t>
  </si>
  <si>
    <t>Taxa de pagamento (cartão) / Card fee</t>
  </si>
  <si>
    <t>Sobre vendas brutas</t>
  </si>
  <si>
    <t>Pizzas/dia - máquina fixa / Pizzas-day, fixed</t>
  </si>
  <si>
    <t>un/dia</t>
  </si>
  <si>
    <t>Adial 'Expected'=20</t>
  </si>
  <si>
    <t>Dias operacionais/mês (fixa) / Op. days/month</t>
  </si>
  <si>
    <t>dias</t>
  </si>
  <si>
    <t>24/7</t>
  </si>
  <si>
    <t>Crescimento volume anual / Annual volume growth</t>
  </si>
  <si>
    <t>Anos 2+</t>
  </si>
  <si>
    <t>B. CUSTO DO PRODUTO (Adial) / COST OF GOODS (Adial)</t>
  </si>
  <si>
    <t>Massa / Dough (280g @ €0,80/kg)</t>
  </si>
  <si>
    <t>Adial</t>
  </si>
  <si>
    <t>Molho tomate / Tomato sauce (80g @ €3/kg)</t>
  </si>
  <si>
    <t>Queijo / Cheese (120g @ €7/kg)</t>
  </si>
  <si>
    <t>Ingredientes / Toppings (120g @ €12/kg)</t>
  </si>
  <si>
    <t>Caixa / Pizza box</t>
  </si>
  <si>
    <t>Disco de cozedura / Baking disc</t>
  </si>
  <si>
    <t>Desperdício / Waste</t>
  </si>
  <si>
    <t>Adial 3%</t>
  </si>
  <si>
    <t>Custo total por pizza / Total cost per pizza</t>
  </si>
  <si>
    <t>Calculado (Adial ~€3,30)</t>
  </si>
  <si>
    <t>C. CUSTOS OPERACIONAIS (por máquina, mensal) / OPERATING COSTS (per machine, monthly)</t>
  </si>
  <si>
    <t>Renda localização (fixa) / Location rent (fixed)</t>
  </si>
  <si>
    <t>€/mês</t>
  </si>
  <si>
    <t>Só máquinas fixas</t>
  </si>
  <si>
    <t>Reabastecimento (fixa) / Restocking (fixed)</t>
  </si>
  <si>
    <t>Por máquina fixa</t>
  </si>
  <si>
    <t>Eletricidade / Electricity</t>
  </si>
  <si>
    <t>Adial (1 kW contínuo)</t>
  </si>
  <si>
    <t>Seguro / Insurance</t>
  </si>
  <si>
    <t>Internet (ADSL/4G)</t>
  </si>
  <si>
    <t>Gestão de frota / Fleet mgmt (Silver)</t>
  </si>
  <si>
    <t>Manutenção / Maintenance</t>
  </si>
  <si>
    <t>Peças/contrato</t>
  </si>
  <si>
    <t>D. CUSTOS DO NEGÓCIO (mensal) / BUSINESS-LEVEL COSTS (monthly)</t>
  </si>
  <si>
    <t>Contabilidade / Accounting</t>
  </si>
  <si>
    <t>Toda a empresa</t>
  </si>
  <si>
    <t>Diversos/contingência / Misc</t>
  </si>
  <si>
    <t>Licenças, consumíveis</t>
  </si>
  <si>
    <t>Veículo transporte (seguro+manut.) / Transport vehicle</t>
  </si>
  <si>
    <t>Carrinha/reboque</t>
  </si>
  <si>
    <t>E. CIRCUITO MÓVEL / MOBILE EVENT CIRCUIT</t>
  </si>
  <si>
    <t>Mão-de-obra por dia de evento / Labour per event-day</t>
  </si>
  <si>
    <t>€/dia</t>
  </si>
  <si>
    <t>Operador no evento</t>
  </si>
  <si>
    <t>Ver folha 'Eventos' para taxas de lugar, transporte e seleção de rota.</t>
  </si>
  <si>
    <t>See 'Eventos' sheet for pitch fees, transport and route selection.</t>
  </si>
  <si>
    <t>F. FROTA E INVESTIMENTO / FLEET &amp; CAPEX</t>
  </si>
  <si>
    <t>Nº máquinas fixas / Fixed machines</t>
  </si>
  <si>
    <t>un</t>
  </si>
  <si>
    <t>Nº máquinas móveis / Mobile machines</t>
  </si>
  <si>
    <t>Total máquinas / Total machines</t>
  </si>
  <si>
    <t>Preço por máquina / Price per machine</t>
  </si>
  <si>
    <t>ESTIMATIVA mercado EU €25-65k - pedir orçamento</t>
  </si>
  <si>
    <t>Instalação/máquina / Install per machine</t>
  </si>
  <si>
    <t>Transporte, ligação</t>
  </si>
  <si>
    <t>Veículo/reboque transporte / Transport vehicle</t>
  </si>
  <si>
    <t>Para máquina móvel</t>
  </si>
  <si>
    <t>Stock inicial / Initial stock</t>
  </si>
  <si>
    <t>Primeiro enchimento frota</t>
  </si>
  <si>
    <t>Base financiável (máquinas+veículo) / Financeable base</t>
  </si>
  <si>
    <t>Setup total / Total setup</t>
  </si>
  <si>
    <t>INVESTIMENTO TOTAL / TOTAL CAPEX</t>
  </si>
  <si>
    <t>G. FINANCIAMENTO, IMPOSTOS, HORIZONTE / FINANCING, TAX, HORIZON</t>
  </si>
  <si>
    <t>Entrada / Down payment</t>
  </si>
  <si>
    <t>Sobre base financiável</t>
  </si>
  <si>
    <t>Valor financiado / Loan amount</t>
  </si>
  <si>
    <t>Taxa de juro anual / Annual rate</t>
  </si>
  <si>
    <t>Crédito equipamento PME</t>
  </si>
  <si>
    <t>Prazo / Term</t>
  </si>
  <si>
    <t>anos</t>
  </si>
  <si>
    <t>60 prestações</t>
  </si>
  <si>
    <t>Prestação mensal / Monthly payment</t>
  </si>
  <si>
    <t>IRC (PME) / Corporate tax</t>
  </si>
  <si>
    <t>16% 1os €50k PT 2025</t>
  </si>
  <si>
    <t>Vida útil (deprec.) / Useful life</t>
  </si>
  <si>
    <t>Equipamento+veículo</t>
  </si>
  <si>
    <t>Depreciação anual / Annual depreciation</t>
  </si>
  <si>
    <t>Linear</t>
  </si>
  <si>
    <t>Horizonte de análise / Hold period</t>
  </si>
  <si>
    <t>Ano 1 mensal; 2-5 anual</t>
  </si>
  <si>
    <t>Capital inicial investidor / Initial equity</t>
  </si>
  <si>
    <t>Entrada+setup+stock</t>
  </si>
  <si>
    <t>H. ÍNDICE DE VOLUME ANO 1 - MÁQUINAS FIXAS / YEAR-1 INDEX, FIXED</t>
  </si>
  <si>
    <t>Mês / 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</si>
  <si>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</si>
  <si>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</si>
  <si>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</si>
  <si>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</si>
  <si>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</si>
  <si>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</si>
  <si>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</si>
  <si>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</si>
  <si>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</si>
  <si>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</si>
  <si>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</si>
  <si>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</si>
  <si>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Índice (ramp) / Index</t>
  </si>
  <si>
    <t>CUSTOS POR MÁQUINA / PER-MACHINE COSTS</t>
  </si>
  <si>
    <t>Uma linha por máquina. Cada local pode ter custos diferentes — edite as células. / One row per machine; costs differ by location.</t>
  </si>
  <si>
    <t>Máquina / Machine</t>
  </si>
  <si>
    <t>Tipo / Type</t>
  </si>
  <si>
    <t>Local / Location</t>
  </si>
  <si>
    <t>Ativa?</t>
  </si>
  <si>
    <t>Renda</t>
  </si>
  <si>
    <t>Reabast.</t>
  </si>
  <si>
    <t>Eletric.</t>
  </si>
  <si>
    <t>Seguro</t>
  </si>
  <si>
    <t>Internet+gestão</t>
  </si>
  <si>
    <t>Manut.</t>
  </si>
  <si>
    <t>Total/mês</t>
  </si>
  <si>
    <t>Fixa 1</t>
  </si>
  <si>
    <t>Fixa</t>
  </si>
  <si>
    <t>Fixa 2</t>
  </si>
  <si>
    <t>Móvel 1</t>
  </si>
  <si>
    <t>Móvel</t>
  </si>
  <si>
    <t>Circuito de eventos</t>
  </si>
  <si>
    <t>(livre / free)</t>
  </si>
  <si>
    <t>TOTAL FROTA (ativas) / FLEET TOTAL</t>
  </si>
  <si>
    <t>Custos op. Fixas/mês / Fixed op. costs</t>
  </si>
  <si>
    <t>Custos op. Móveis/mês / Mobile op. costs</t>
  </si>
  <si>
    <t>Nº fixas ativas / Active fixed</t>
  </si>
  <si>
    <t>Nº móveis ativas / Active mobile</t>
  </si>
  <si>
    <t>Coerência com Pressupostos / Check vs Assumptions</t>
  </si>
  <si>
    <t>Nota: alimenta a folha Custos e o Ponto Crítico. CAPEX/financiamento/receita seguem o nº de máquinas dos Pressupostos.</t>
  </si>
  <si>
    <t>EVENTOS / EVENTS — Portugal Continental</t>
  </si>
  <si>
    <t>Calendário de feiras, festas e festivais para o circuito móvel. 'Em rota?'=1 inclui no modelo. / Set 'On route?'=1 to include.</t>
  </si>
  <si>
    <t>Evento / Event</t>
  </si>
  <si>
    <t>Concelho</t>
  </si>
  <si>
    <t>Distrito</t>
  </si>
  <si>
    <t>Mês</t>
  </si>
  <si>
    <t>Período 2026 / Dates</t>
  </si>
  <si>
    <t>Dias</t>
  </si>
  <si>
    <t>Afluência</t>
  </si>
  <si>
    <t>Pizzas/dia</t>
  </si>
  <si>
    <t>Taxa lugar</t>
  </si>
  <si>
    <t>Transporte</t>
  </si>
  <si>
    <t>Em rota?</t>
  </si>
  <si>
    <t>Unidades</t>
  </si>
  <si>
    <t>Custo log.</t>
  </si>
  <si>
    <t>Receita liq.</t>
  </si>
  <si>
    <t>Fonte / Source</t>
  </si>
  <si>
    <t>Festa das Fogaceiras</t>
  </si>
  <si>
    <t>Santa Maria da Feira</t>
  </si>
  <si>
    <t>Aveiro</t>
  </si>
  <si>
    <t>20 Jan 2026</t>
  </si>
  <si>
    <t>Religiosa/Cívica</t>
  </si>
  <si>
    <t>M</t>
  </si>
  <si>
    <t>CM Santa Maria da Feira</t>
  </si>
  <si>
    <t>Festas de São Gonçalinho</t>
  </si>
  <si>
    <t>9-12 Jan 2026</t>
  </si>
  <si>
    <t>Religiosa</t>
  </si>
  <si>
    <t>CM Aveiro</t>
  </si>
  <si>
    <t>Festa dos Rapazes</t>
  </si>
  <si>
    <t>Bragança (aldeias)</t>
  </si>
  <si>
    <t>Bragança</t>
  </si>
  <si>
    <t>24 Dez-6 Jan</t>
  </si>
  <si>
    <t>Caretos/Tradicional</t>
  </si>
  <si>
    <t>S</t>
  </si>
  <si>
    <t>VisitPortugal</t>
  </si>
  <si>
    <t>Carnaval de Loures</t>
  </si>
  <si>
    <t>Loures</t>
  </si>
  <si>
    <t>Lisboa</t>
  </si>
  <si>
    <t>15 e 17 Fev 2026</t>
  </si>
  <si>
    <t>Carnaval</t>
  </si>
  <si>
    <t>Carnaval de Torres Vedras</t>
  </si>
  <si>
    <t>Torres Vedras</t>
  </si>
  <si>
    <t>13-18 Fev 2026</t>
  </si>
  <si>
    <t>L</t>
  </si>
  <si>
    <t>Oficial</t>
  </si>
  <si>
    <t>Carnaval de Ovar</t>
  </si>
  <si>
    <t>Ovar</t>
  </si>
  <si>
    <t>Fev 2026</t>
  </si>
  <si>
    <t>Carnaval de Loulé</t>
  </si>
  <si>
    <t>Loulé</t>
  </si>
  <si>
    <t>Faro</t>
  </si>
  <si>
    <t>Carnaval de Estarreja</t>
  </si>
  <si>
    <t>Estarreja</t>
  </si>
  <si>
    <t>Entrudo Chocalheiro (Caretos)</t>
  </si>
  <si>
    <t>Podence (Macedo de Cavaleiros)</t>
  </si>
  <si>
    <t>Carnaval UNESCO</t>
  </si>
  <si>
    <t>VisitPortugal/UNESCO</t>
  </si>
  <si>
    <t>Entrudo de Lazarim</t>
  </si>
  <si>
    <t>Lazarim (Lamego)</t>
  </si>
  <si>
    <t>Viseu</t>
  </si>
  <si>
    <t>Carnaval de Sesimbra</t>
  </si>
  <si>
    <t>Sesimbra</t>
  </si>
  <si>
    <t>Setúbal</t>
  </si>
  <si>
    <t>Carnaval Sesimbra</t>
  </si>
  <si>
    <t>Semana Santa de Braga</t>
  </si>
  <si>
    <t>Braga</t>
  </si>
  <si>
    <t>Mar/Abr 2026</t>
  </si>
  <si>
    <t>Semana Santa de Óbidos</t>
  </si>
  <si>
    <t>Óbidos</t>
  </si>
  <si>
    <t>Leiria</t>
  </si>
  <si>
    <t>Religiosa/Histórica</t>
  </si>
  <si>
    <t>CM Óbidos</t>
  </si>
  <si>
    <t>Semana Santa de Buarcos</t>
  </si>
  <si>
    <t>Figueira da Foz</t>
  </si>
  <si>
    <t>Coimbra</t>
  </si>
  <si>
    <t>18 Mar-5 Abr 2026</t>
  </si>
  <si>
    <t>CM Figueira da Foz</t>
  </si>
  <si>
    <t>Festival Int. de Chocolate</t>
  </si>
  <si>
    <t>Mar-Abr 2026</t>
  </si>
  <si>
    <t>Gastronomia</t>
  </si>
  <si>
    <t>Feira de Março</t>
  </si>
  <si>
    <t>fim Mar-Abr 2026</t>
  </si>
  <si>
    <t>Feira</t>
  </si>
  <si>
    <t>Festa das Tochas Floridas</t>
  </si>
  <si>
    <t>São Brás de Alportel</t>
  </si>
  <si>
    <t>5 Abr 2026 (Páscoa)</t>
  </si>
  <si>
    <t>Religiosa/Tradicional</t>
  </si>
  <si>
    <t>Turismo do Algarve</t>
  </si>
  <si>
    <t>Festa Grande da Mãe Soberana</t>
  </si>
  <si>
    <t>19 Abr 2026</t>
  </si>
  <si>
    <t>Religiosa/Popular</t>
  </si>
  <si>
    <t>CM Loulé</t>
  </si>
  <si>
    <t>Romaria a Cavalo Moita-Viana Alentejo</t>
  </si>
  <si>
    <t>Moita / Viana do Alentejo</t>
  </si>
  <si>
    <t>21-26 Abr 2026</t>
  </si>
  <si>
    <t>Religiosa/Equestre</t>
  </si>
  <si>
    <t>CM Moita / Viana</t>
  </si>
  <si>
    <t>Romaria de Santa Marinha</t>
  </si>
  <si>
    <t>Segura (Idanha-a-Nova)</t>
  </si>
  <si>
    <t>Castelo Branco</t>
  </si>
  <si>
    <t>8 dias após Páscoa</t>
  </si>
  <si>
    <t>CM Idanha-a-Nova</t>
  </si>
  <si>
    <t>Romaria N. Sra do Almortão</t>
  </si>
  <si>
    <t>Idanha-a-Nova</t>
  </si>
  <si>
    <t>15 dias após Páscoa</t>
  </si>
  <si>
    <t>Queima das Fitas do Porto</t>
  </si>
  <si>
    <t>Porto</t>
  </si>
  <si>
    <t>Abr/Mai 2026</t>
  </si>
  <si>
    <t>Académica</t>
  </si>
  <si>
    <t>XL</t>
  </si>
  <si>
    <t>Festas de São Jorge</t>
  </si>
  <si>
    <t>Gondomar</t>
  </si>
  <si>
    <t>18-27 Abr 2026</t>
  </si>
  <si>
    <t>Religiosa/Festa</t>
  </si>
  <si>
    <t>Festa das Cruzes</t>
  </si>
  <si>
    <t>Barcelos</t>
  </si>
  <si>
    <t>in. Maio 2026</t>
  </si>
  <si>
    <t>Religiosa/Feira</t>
  </si>
  <si>
    <t>Festa das Cruzes de Monsanto</t>
  </si>
  <si>
    <t>Monsanto (Idanha)</t>
  </si>
  <si>
    <t>3 Mai 2026</t>
  </si>
  <si>
    <t>Tradicional/Histórica</t>
  </si>
  <si>
    <t>Círio de N. Sra da Victória</t>
  </si>
  <si>
    <t>Nazaré</t>
  </si>
  <si>
    <t>14 Mai 2026 (Ascensão)</t>
  </si>
  <si>
    <t>CM Nazaré</t>
  </si>
  <si>
    <t>Feira de Maio</t>
  </si>
  <si>
    <t>Azambuja</t>
  </si>
  <si>
    <t>28 Mai-1 Jun 2026</t>
  </si>
  <si>
    <t>Feira/Taurina</t>
  </si>
  <si>
    <t>CM Azambuja</t>
  </si>
  <si>
    <t>Festas do Município e Santa Joana</t>
  </si>
  <si>
    <t>6-16 Mai 2026</t>
  </si>
  <si>
    <t>Religiosa/Municipal</t>
  </si>
  <si>
    <t>Senhor de Matosinhos</t>
  </si>
  <si>
    <t>Matosinhos</t>
  </si>
  <si>
    <t>15 Mai-7 Jun 2026</t>
  </si>
  <si>
    <t>CM Matosinhos</t>
  </si>
  <si>
    <t>Beja Romana</t>
  </si>
  <si>
    <t>Beja</t>
  </si>
  <si>
    <t>29-31 Mai 2026</t>
  </si>
  <si>
    <t>Histórica/Municipal</t>
  </si>
  <si>
    <t>CM Beja</t>
  </si>
  <si>
    <t>Algarve Smooth Jazz</t>
  </si>
  <si>
    <t>Albufeira</t>
  </si>
  <si>
    <t>12-17 Mai 2026</t>
  </si>
  <si>
    <t>Festival</t>
  </si>
  <si>
    <t>MOGA Caparica</t>
  </si>
  <si>
    <t>Almada</t>
  </si>
  <si>
    <t>27-31 Mai 2026</t>
  </si>
  <si>
    <t>Feira de Doçaria Conventual</t>
  </si>
  <si>
    <t>Portalegre</t>
  </si>
  <si>
    <t>Maio 2026</t>
  </si>
  <si>
    <t>Festas de São Gonçalo</t>
  </si>
  <si>
    <t>Amarante</t>
  </si>
  <si>
    <t>1º fds Jun 2026</t>
  </si>
  <si>
    <t>Agenda Amarante</t>
  </si>
  <si>
    <t>Romaria do Senhor da Pedra</t>
  </si>
  <si>
    <t>Miramar (V.N. Gaia)</t>
  </si>
  <si>
    <t>Jun 2026 (móvel)</t>
  </si>
  <si>
    <t>Festas de Lisboa / Santo António</t>
  </si>
  <si>
    <t>29 Mai-28 Jun; St.António 12-13</t>
  </si>
  <si>
    <t>Santos Populares</t>
  </si>
  <si>
    <t>Visit Lisboa</t>
  </si>
  <si>
    <t>Primavera Sound Porto</t>
  </si>
  <si>
    <t>11-14 Jun 2026</t>
  </si>
  <si>
    <t>Feira Medieval de Belver</t>
  </si>
  <si>
    <t>Gavião</t>
  </si>
  <si>
    <t>19-21 Jun 2026</t>
  </si>
  <si>
    <t>Histórica</t>
  </si>
  <si>
    <t>Festas da Vila de Mértola</t>
  </si>
  <si>
    <t>Mértola</t>
  </si>
  <si>
    <t>19-24 Jun 2026</t>
  </si>
  <si>
    <t>Municipal/Popular</t>
  </si>
  <si>
    <t>CM Mértola</t>
  </si>
  <si>
    <t>Festas da Vila de Castro Verde</t>
  </si>
  <si>
    <t>Castro Verde</t>
  </si>
  <si>
    <t>26-28 Jun 2026</t>
  </si>
  <si>
    <t>Feira de São João de Évora</t>
  </si>
  <si>
    <t>Évora</t>
  </si>
  <si>
    <t>23 Jun-5 Jul 2026</t>
  </si>
  <si>
    <t>Feira/Popular</t>
  </si>
  <si>
    <t>Festa de São João da Lousã</t>
  </si>
  <si>
    <t>Lousã</t>
  </si>
  <si>
    <t>18-24 Jun 2026</t>
  </si>
  <si>
    <t>Popular/Religiosa</t>
  </si>
  <si>
    <t>CM Lousã</t>
  </si>
  <si>
    <t>Festas de São João de Braga</t>
  </si>
  <si>
    <t>17-24 Jun 2026</t>
  </si>
  <si>
    <t>Turismo Porto e Norte</t>
  </si>
  <si>
    <t>São João do Porto</t>
  </si>
  <si>
    <t>23-24 Jun 2026</t>
  </si>
  <si>
    <t>Festas de São Pedro (S.Pedro)</t>
  </si>
  <si>
    <t>Porto de Mós</t>
  </si>
  <si>
    <t>~29 Jun 2026</t>
  </si>
  <si>
    <t>Feira/Religiosa</t>
  </si>
  <si>
    <t>Feira Nacional da Agricultura</t>
  </si>
  <si>
    <t>Santarém</t>
  </si>
  <si>
    <t>in.-meados Jun 2026</t>
  </si>
  <si>
    <t>Festival MED</t>
  </si>
  <si>
    <t>fim Jun 2026</t>
  </si>
  <si>
    <t>Rock in Rio Lisboa</t>
  </si>
  <si>
    <t>20-28 Jun 2026</t>
  </si>
  <si>
    <t>Feira de São Pedro de Sintra</t>
  </si>
  <si>
    <t>Sintra</t>
  </si>
  <si>
    <t>Festas da Cidade e Rainha Santa</t>
  </si>
  <si>
    <t>3-19 Jul 2026</t>
  </si>
  <si>
    <t>CM Coimbra</t>
  </si>
  <si>
    <t>Feira Medieval de Coimbra</t>
  </si>
  <si>
    <t>17-19 Jul 2026</t>
  </si>
  <si>
    <t>Festas da Cidade de Chaves</t>
  </si>
  <si>
    <t>Chaves</t>
  </si>
  <si>
    <t>Vila Real</t>
  </si>
  <si>
    <t>4-8 Jul 2026</t>
  </si>
  <si>
    <t>CM Chaves</t>
  </si>
  <si>
    <t>Festas do Colete Encarnado</t>
  </si>
  <si>
    <t>Vila Franca de Xira</t>
  </si>
  <si>
    <t>1ª sem Jul 2026</t>
  </si>
  <si>
    <t>Taurina/Feira</t>
  </si>
  <si>
    <t>Mercado Medieval de Óbidos</t>
  </si>
  <si>
    <t>16-26 Jul 2026</t>
  </si>
  <si>
    <t>Festas do Bodo</t>
  </si>
  <si>
    <t>Pombal</t>
  </si>
  <si>
    <t>23-28 Jul 2026</t>
  </si>
  <si>
    <t>Popular/Municipal</t>
  </si>
  <si>
    <t>Feira Medieval de Sintra</t>
  </si>
  <si>
    <t>9-12 Jul 2026</t>
  </si>
  <si>
    <t>Festa Templária</t>
  </si>
  <si>
    <t>Tomar</t>
  </si>
  <si>
    <t>CM Tomar</t>
  </si>
  <si>
    <t>Festa dos Tabuleiros (quadrienal)</t>
  </si>
  <si>
    <t>Próxima 2027 (não 2026)</t>
  </si>
  <si>
    <t>Festas da Cidade de Odivelas</t>
  </si>
  <si>
    <t>Odivelas</t>
  </si>
  <si>
    <t>Jul 2026</t>
  </si>
  <si>
    <t>NOS Alive</t>
  </si>
  <si>
    <t>Oeiras</t>
  </si>
  <si>
    <t>9-11 Jul 2026</t>
  </si>
  <si>
    <t>Super Bock Super Rock</t>
  </si>
  <si>
    <t>Sesimbra (Meco)</t>
  </si>
  <si>
    <t>Afro Nation</t>
  </si>
  <si>
    <t>Portimão</t>
  </si>
  <si>
    <t>3-5 Jul 2026</t>
  </si>
  <si>
    <t>RFM Somnii</t>
  </si>
  <si>
    <t>10-12 Jul 2026</t>
  </si>
  <si>
    <t>MEO Marés Vivas</t>
  </si>
  <si>
    <t>Ageas Cooljazz</t>
  </si>
  <si>
    <t>Cascais</t>
  </si>
  <si>
    <t>Salir no Tempo</t>
  </si>
  <si>
    <t>Salir (Loulé)</t>
  </si>
  <si>
    <t>18-20 Jul 2026</t>
  </si>
  <si>
    <t>Feira de Sant'Iago</t>
  </si>
  <si>
    <t>23 Jul-2 Ago 2026</t>
  </si>
  <si>
    <t>Expofacic</t>
  </si>
  <si>
    <t>Cantanhede</t>
  </si>
  <si>
    <t>30 Jul-9 Ago 2026</t>
  </si>
  <si>
    <t>Feira-festa</t>
  </si>
  <si>
    <t>CM Cantanhede</t>
  </si>
  <si>
    <t>Festas Gualterianas</t>
  </si>
  <si>
    <t>Guimarães</t>
  </si>
  <si>
    <t>1º fds Ago 2026</t>
  </si>
  <si>
    <t>Cidade/Feira</t>
  </si>
  <si>
    <t>Feira Medieval de Silves</t>
  </si>
  <si>
    <t>Silves</t>
  </si>
  <si>
    <t>7-15 Ago 2026</t>
  </si>
  <si>
    <t>Feira de São Bartolomeu</t>
  </si>
  <si>
    <t>Trancoso</t>
  </si>
  <si>
    <t>Guarda</t>
  </si>
  <si>
    <t>7-16 Ago 2026</t>
  </si>
  <si>
    <t>CM Trancoso</t>
  </si>
  <si>
    <t>Festas do Povo</t>
  </si>
  <si>
    <t>Campo Maior</t>
  </si>
  <si>
    <t>8-16 Ago 2026</t>
  </si>
  <si>
    <t>Popular UNESCO</t>
  </si>
  <si>
    <t>Festas do Barrete Verde e Salinas</t>
  </si>
  <si>
    <t>Alcochete</t>
  </si>
  <si>
    <t>8-13 Ago 2026</t>
  </si>
  <si>
    <t>Taurina/Popular</t>
  </si>
  <si>
    <t>CM Alcochete</t>
  </si>
  <si>
    <t>Festa dos Povos (Aquae Flaviae)</t>
  </si>
  <si>
    <t>14-16 Ago 2026</t>
  </si>
  <si>
    <t>Senhora da Agonia</t>
  </si>
  <si>
    <t>Viana do Castelo</t>
  </si>
  <si>
    <t>15-23 Ago 2026</t>
  </si>
  <si>
    <t>Romaria</t>
  </si>
  <si>
    <t>VianaFestas</t>
  </si>
  <si>
    <t>Romaria de São Bartolomeu</t>
  </si>
  <si>
    <t>Ponte da Barca</t>
  </si>
  <si>
    <t>19-24 Ago 2026</t>
  </si>
  <si>
    <t>Romaria de N. Sra da Abadia</t>
  </si>
  <si>
    <t>Amares</t>
  </si>
  <si>
    <t>Ago 2026 (Assunção)</t>
  </si>
  <si>
    <t>Romaria de São João d'Arga</t>
  </si>
  <si>
    <t>Caminha</t>
  </si>
  <si>
    <t>28-29 Ago 2026</t>
  </si>
  <si>
    <t>Feira de São Mateus</t>
  </si>
  <si>
    <t>6 Ago-6 Set 2026</t>
  </si>
  <si>
    <t>Feira (mais antiga)</t>
  </si>
  <si>
    <t>CM Viseu</t>
  </si>
  <si>
    <t>FATACIL</t>
  </si>
  <si>
    <t>Lagoa</t>
  </si>
  <si>
    <t>~15-24 Ago 2026</t>
  </si>
  <si>
    <t>Festival do Marisco</t>
  </si>
  <si>
    <t>Olhão</t>
  </si>
  <si>
    <t>~13-17 Ago 2026</t>
  </si>
  <si>
    <t>MEO Sudoeste</t>
  </si>
  <si>
    <t>Odemira (Zambujeira)</t>
  </si>
  <si>
    <t>in. Ago 2026</t>
  </si>
  <si>
    <t>Vodafone Paredes de Coura</t>
  </si>
  <si>
    <t>Paredes de Coura</t>
  </si>
  <si>
    <t>12-15 Ago 2026</t>
  </si>
  <si>
    <t>Vagos Metal Fest</t>
  </si>
  <si>
    <t>Vagos</t>
  </si>
  <si>
    <t>5-9 Ago 2026</t>
  </si>
  <si>
    <t>Sol da Caparica</t>
  </si>
  <si>
    <t>13-16 Ago 2026</t>
  </si>
  <si>
    <t>MEO Kalorama</t>
  </si>
  <si>
    <t>28-30 Ago 2026</t>
  </si>
  <si>
    <t>Viagem Medieval</t>
  </si>
  <si>
    <t>29 Jul-9 Ago 2026</t>
  </si>
  <si>
    <t>Recriação</t>
  </si>
  <si>
    <t>São Bento da Porta Aberta</t>
  </si>
  <si>
    <t>Terras de Bouro</t>
  </si>
  <si>
    <t>Ago 2026</t>
  </si>
  <si>
    <t>Feira de São Bernardo</t>
  </si>
  <si>
    <t>Alcobaça</t>
  </si>
  <si>
    <t>~20 Ago 2026</t>
  </si>
  <si>
    <t>Estimativa</t>
  </si>
  <si>
    <t>Festas da Assunção</t>
  </si>
  <si>
    <t>Póvoa de Varzim</t>
  </si>
  <si>
    <t>~15 Ago 2026</t>
  </si>
  <si>
    <t>Cidade</t>
  </si>
  <si>
    <t>Capeias Arraianas</t>
  </si>
  <si>
    <t>Sabugal (várias)</t>
  </si>
  <si>
    <t>Verão 2026 (13 locais)</t>
  </si>
  <si>
    <t>Taurina/Tradicional</t>
  </si>
  <si>
    <t>CM Sabugal</t>
  </si>
  <si>
    <t>Festas de São Paio da Torreira</t>
  </si>
  <si>
    <t>Murtosa</t>
  </si>
  <si>
    <t>4-8 Set 2026</t>
  </si>
  <si>
    <t>Feira Sabores de Perdição</t>
  </si>
  <si>
    <t>3-6 Set 2026</t>
  </si>
  <si>
    <t>CM Castelo Branco</t>
  </si>
  <si>
    <t>Festa das Vindimas</t>
  </si>
  <si>
    <t>Palmela</t>
  </si>
  <si>
    <t>3-8 Set 2026</t>
  </si>
  <si>
    <t>Vínica/Popular</t>
  </si>
  <si>
    <t>CM Palmela</t>
  </si>
  <si>
    <t>Festa dos Capuchos</t>
  </si>
  <si>
    <t>Vila Viçosa</t>
  </si>
  <si>
    <t>10-15 Set 2026</t>
  </si>
  <si>
    <t>Senhor Jesus da Piedade (S.Mateus)</t>
  </si>
  <si>
    <t>Elvas</t>
  </si>
  <si>
    <t>18-27 Set 2026</t>
  </si>
  <si>
    <t>CM Elvas</t>
  </si>
  <si>
    <t>Feiras Novas</t>
  </si>
  <si>
    <t>Ponte de Lima</t>
  </si>
  <si>
    <t>meados Set 2026</t>
  </si>
  <si>
    <t>Festa do Avante!</t>
  </si>
  <si>
    <t>Seixal</t>
  </si>
  <si>
    <t>1º fds Set 2026</t>
  </si>
  <si>
    <t>Festas N. Sra dos Remédios</t>
  </si>
  <si>
    <t>Lamego</t>
  </si>
  <si>
    <t>27 Ago-9 Set 2026</t>
  </si>
  <si>
    <t>Senhora da Nazaré</t>
  </si>
  <si>
    <t>~8 Set 2026</t>
  </si>
  <si>
    <t>Festival F</t>
  </si>
  <si>
    <t>Set 2026</t>
  </si>
  <si>
    <t>Feira da Serra de Serpa</t>
  </si>
  <si>
    <t>Serpa</t>
  </si>
  <si>
    <t>CM Serpa</t>
  </si>
  <si>
    <t>Feira de Outubro</t>
  </si>
  <si>
    <t>1º fds Out 2026</t>
  </si>
  <si>
    <t>Peregrinação de Fátima (Out)</t>
  </si>
  <si>
    <t>Ourém (Fátima)</t>
  </si>
  <si>
    <t>12-13 Out 2026</t>
  </si>
  <si>
    <t>Feira das Mercês</t>
  </si>
  <si>
    <t>~18-25 Out 2026</t>
  </si>
  <si>
    <t>Feira dos Santos</t>
  </si>
  <si>
    <t>~1 Nov 2026</t>
  </si>
  <si>
    <t>Feira Nacional do Cavalo</t>
  </si>
  <si>
    <t>Golegã</t>
  </si>
  <si>
    <t>6-15 Nov 2026</t>
  </si>
  <si>
    <t>Feira equestre</t>
  </si>
  <si>
    <t>Festas Nicolinas</t>
  </si>
  <si>
    <t>29 Nov-7 Dez 2026</t>
  </si>
  <si>
    <t>Estudantil/Tradicional</t>
  </si>
  <si>
    <t>Óbidos Vila Natal</t>
  </si>
  <si>
    <t>Dez 2026</t>
  </si>
  <si>
    <t>Natal</t>
  </si>
  <si>
    <t>Mercados de Natal</t>
  </si>
  <si>
    <t>Perlim</t>
  </si>
  <si>
    <t>Passagem de Ano</t>
  </si>
  <si>
    <t>31 Dez 2026</t>
  </si>
  <si>
    <t>Réveillon</t>
  </si>
  <si>
    <t>TOTAIS EM ROTA / ON-ROUTE TOTALS</t>
  </si>
  <si>
    <t>Eventos selecionados / Selected events</t>
  </si>
  <si>
    <t>Dias-evento em rota / On-route event-days</t>
  </si>
  <si>
    <t>Unidades/ano (eventos) / Units/yr</t>
  </si>
  <si>
    <t>Custo logística/ano / Logistics/yr</t>
  </si>
  <si>
    <t>Receita líquida/ano (eventos) / Net rev/yr</t>
  </si>
  <si>
    <t>Nota: uma máquina móvel não pode estar em dois sítios ao mesmo tempo — escolha eventos não sobrepostos.</t>
  </si>
  <si>
    <t>Note: one mobile machine can't be in two places at once — pick non-overlapping events.</t>
  </si>
  <si>
    <t>FINANCIAMENTO / FINANCING</t>
  </si>
  <si>
    <t>Amortização (máquinas + veículo) / Loan amortization</t>
  </si>
  <si>
    <t>Valor financiado / Loan</t>
  </si>
  <si>
    <t>Taxa anual / Rate</t>
  </si>
  <si>
    <t>Prestação / Payment</t>
  </si>
  <si>
    <t>Saldo inicial</t>
  </si>
  <si>
    <t>Prestação</t>
  </si>
  <si>
    <t>Juros</t>
  </si>
  <si>
    <t>Capital</t>
  </si>
  <si>
    <t>Saldo final</t>
  </si>
  <si>
    <t>POR PERÍODO / BY PERIOD</t>
  </si>
  <si>
    <t>Juros mensais Ano 1 / Monthly interest Y1</t>
  </si>
  <si>
    <t>Ano1</t>
  </si>
  <si>
    <t>Ano2</t>
  </si>
  <si>
    <t>Ano3</t>
  </si>
  <si>
    <t>Ano4</t>
  </si>
  <si>
    <t>Ano5</t>
  </si>
  <si>
    <t>Juros anuais / Annual interest</t>
  </si>
  <si>
    <t>Capital anual / Annual principal</t>
  </si>
  <si>
    <t>RECEITA / REVENUE</t>
  </si>
  <si>
    <t>Máquinas fixas (ramp) + circuito móvel (eventos) / Fixed + mobile event circuit</t>
  </si>
  <si>
    <t>Métrica / Metric</t>
  </si>
  <si>
    <t>Ano 1
Y1</t>
  </si>
  <si>
    <t>Ano 2
Y2</t>
  </si>
  <si>
    <t>Ano 3
Y3</t>
  </si>
  <si>
    <t>Ano 4
Y4</t>
  </si>
  <si>
    <t>Ano 5
Y5</t>
  </si>
  <si>
    <t>Unidades — fixas / Fixed-machine units</t>
  </si>
  <si>
    <t>Unidades — eventos (móvel) / Event units</t>
  </si>
  <si>
    <t>Unidades totais / Total units</t>
  </si>
  <si>
    <t>Preço c/IVA / Price incl. VAT</t>
  </si>
  <si>
    <t>Vendas brutas c/IVA / Gross sales</t>
  </si>
  <si>
    <t>IVA / VAT</t>
  </si>
  <si>
    <t>Vendas líquidas s/IVA / Net sales</t>
  </si>
  <si>
    <t>Taxa de pagamento / Card fee</t>
  </si>
  <si>
    <t>RECEITA LÍQUIDA / NET REVENUE</t>
  </si>
  <si>
    <t>CUSTOS / COSTS</t>
  </si>
  <si>
    <t>COGS + opex por máquina + logística de eventos / COGS + per-machine opex + event logistics</t>
  </si>
  <si>
    <t>COGS (Adial)</t>
  </si>
  <si>
    <t>Renda (fixas) / Rent (fixed)</t>
  </si>
  <si>
    <t>Reabastecimento (fixas) / Restock (fixed)</t>
  </si>
  <si>
    <t>Internet+gestão frota / Internet+fleet</t>
  </si>
  <si>
    <t>Diversos / Misc</t>
  </si>
  <si>
    <t>Veículo transporte / Transport vehicle</t>
  </si>
  <si>
    <t>Logística eventos (lugar+transporte) / Event logistics</t>
  </si>
  <si>
    <t>Mão-de-obra eventos / Event labour</t>
  </si>
  <si>
    <t>Custos operacionais (s/COGS) / Operating costs (excl. COGS)</t>
  </si>
  <si>
    <t>CUSTOS TOTAIS / TOTAL COSTS</t>
  </si>
  <si>
    <t>DEMONSTRAÇÃO DE RESULTADOS / PROFIT &amp; LOSS</t>
  </si>
  <si>
    <t>Receita líquida / Net revenue</t>
  </si>
  <si>
    <t>COGS</t>
  </si>
  <si>
    <t>Margem bruta / Gross margin</t>
  </si>
  <si>
    <t>Custos operacionais / Operating costs</t>
  </si>
  <si>
    <t>EBITDA</t>
  </si>
  <si>
    <t>Margem EBITDA % / EBITDA %</t>
  </si>
  <si>
    <t>Depreciação / Depreciation</t>
  </si>
  <si>
    <t>EBIT</t>
  </si>
  <si>
    <t>Juros / Interest</t>
  </si>
  <si>
    <t>EBT / Pre-tax</t>
  </si>
  <si>
    <t>IRC / Corporate tax</t>
  </si>
  <si>
    <t>RESULTADO LÍQUIDO / NET PROFIT</t>
  </si>
  <si>
    <t>RESUMO MULTIANUAL / MULTI-YEAR SUMMARY</t>
  </si>
  <si>
    <t>Ano 1</t>
  </si>
  <si>
    <t>Ano 2</t>
  </si>
  <si>
    <t>Ano 3</t>
  </si>
  <si>
    <t>Ano 4</t>
  </si>
  <si>
    <t>Ano 5</t>
  </si>
  <si>
    <t>Total 5a</t>
  </si>
  <si>
    <t>Resultado líquido / Net profit</t>
  </si>
  <si>
    <t>Resultado acumulado / Cumulative</t>
  </si>
  <si>
    <t>TESOURARIA / CASH FLOW</t>
  </si>
  <si>
    <t>Sem revenda de máquinas / No machine resale</t>
  </si>
  <si>
    <t>+ Depreciação / + Depreciation</t>
  </si>
  <si>
    <t>Cash flow operacional / Operating CF</t>
  </si>
  <si>
    <t>Amortização capital / Loan principal</t>
  </si>
  <si>
    <t>FLUXO LÍQUIDO / NET CASH FLOW</t>
  </si>
  <si>
    <t>Caixa acumulada (oper.) / Cumulative</t>
  </si>
  <si>
    <t>PONTO CRÍTICO / BREAK-EVEN</t>
  </si>
  <si>
    <t>Base mensal, frota fixa em regime / Steady-state monthly, fixed fleet</t>
  </si>
  <si>
    <t>CONTRIBUIÇÃO / UNIT CONTRIBUTION</t>
  </si>
  <si>
    <t>Preço líquido / Net price</t>
  </si>
  <si>
    <t>€/un</t>
  </si>
  <si>
    <t>Menos taxa pagamento / Less card fee</t>
  </si>
  <si>
    <t>Menos COGS / Less COGS</t>
  </si>
  <si>
    <t>Contribuição / Contribution</t>
  </si>
  <si>
    <t>CUSTOS FIXOS MENSAIS (frota fixa) / MONTHLY FIXED</t>
  </si>
  <si>
    <t>Custos fixos mensais / Monthly fixed</t>
  </si>
  <si>
    <t>Prestação empréstimo / Loan payment</t>
  </si>
  <si>
    <t>Total fixos (caixa) / Total fixed</t>
  </si>
  <si>
    <t>Pizzas/mês equilíbrio / Pizzas-month</t>
  </si>
  <si>
    <t>un/mês</t>
  </si>
  <si>
    <t>Pizzas/dia equilíbrio / Pizzas-day</t>
  </si>
  <si>
    <t>Por máquina fixa / Per fixed machine</t>
  </si>
  <si>
    <t>Pizzas/dia assumidas/máquina / Assumed per machine</t>
  </si>
  <si>
    <t>Margem de segurança / Safety margin</t>
  </si>
  <si>
    <t>Nota: inclui custos recorrentes de TODA a frota (3 máquinas) + veículo, igual à folha Custos (mês sem eventos).</t>
  </si>
  <si>
    <t>É um piso conservador: assume eventos a contribuir zero. A receita de eventos ajuda a cobrir estes fixos.</t>
  </si>
  <si>
    <t>SENSIBILIDADES / SENSITIVITY</t>
  </si>
  <si>
    <t>EBITDA anual frota fixa (ano estabilizado) / Annual fixed-fleet EBITDA</t>
  </si>
  <si>
    <t>Preço ↓ / Pizzas/dia por máq. →</t>
  </si>
  <si>
    <t>Célula amarela = caso base (€10, 20/dia) / Yellow = base case</t>
  </si>
  <si>
    <t>Exclui circuito móvel — ver folha Eventos. / Excludes mobile circuit.</t>
  </si>
  <si>
    <t>ROI — RETORNO DO INVESTIDOR / INVESTOR RETURN</t>
  </si>
  <si>
    <t>Retorno apenas da operação — máquinas não são vendidas / Operations only — machines not sold</t>
  </si>
  <si>
    <t>FLUXO DE CAIXA DO INVESTIDOR / INVESTOR CASH FLOWS</t>
  </si>
  <si>
    <t>Período / Period</t>
  </si>
  <si>
    <t>Ano 0</t>
  </si>
  <si>
    <t>Investimento inicial / Initial outlay</t>
  </si>
  <si>
    <t>Fluxo líquido operacional / Net operating cash</t>
  </si>
  <si>
    <t>FLUXO DO INVESTIDOR / INVESTOR CASH FLOW</t>
  </si>
  <si>
    <t>Caixa acumulada / Cumulative</t>
  </si>
  <si>
    <t>INDICADORES / METRICS</t>
  </si>
  <si>
    <t>Investimento inicial / Initial investment</t>
  </si>
  <si>
    <t>Total entradas (5a) / Net inflows</t>
  </si>
  <si>
    <t>Ganho líquido / Net gain</t>
  </si>
  <si>
    <t>Múltiplo / Cash multiple</t>
  </si>
  <si>
    <t>TIR / IRR</t>
  </si>
  <si>
    <t>Payback (anos aprox.) / Payback (yrs)</t>
  </si>
  <si>
    <t>MEMO: valor residual das máquinas (NÃO vendido) / residual value (NOT sold)</t>
  </si>
  <si>
    <t>As máquinas são mantidas em operação; este valor não entra no retorno de caixa.</t>
  </si>
  <si>
    <t>Machines are kept operating; this value is excluded from the cash return.</t>
  </si>
  <si>
    <t>Local A</t>
  </si>
  <si>
    <t xml:space="preserve">Local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</si>
</sst>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€#,##0.00;&quot;(€&quot;#,##0.00\);\-"/>
    <numFmt numFmtId="165" formatCode="0.0%;\(0.0%\);\-"/>
    <numFmt numFmtId="166" formatCode="#,##0;\(#,##0\);\-"/>
    <numFmt numFmtId="167" formatCode="\€#,##0;&quot;(€&quot;#,##0\);\-"/>
    <numFmt numFmtId="168" formatCode="#,##0.0;\(#,##0.0\);\-"/>
    <numFmt numFmtId="169" formatCode="0.0\x"/>
  </numFmts>
  <fonts count="23" x14ac:knownFonts="1">
    <font>
      <sz val="11"/>
      <color theme="1"/>
      <name val="Calibri"/>
      <family val="2"/>
      <charset val="1"/>
    </font>
    <font>
      <b/>
      <sz val="17"/>
      <color rgb="FF1F3864"/>
      <name val="Arial"/>
      <family val="2"/>
    </font>
    <font>
      <sz val="12"/>
      <color rgb="FF808080"/>
      <name val="Arial"/>
      <family val="2"/>
    </font>
    <font>
      <sz val="10"/>
      <color rgb="FF000000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808080"/>
      <name val="Arial"/>
      <family val="2"/>
    </font>
    <font>
      <sz val="8"/>
      <color rgb="FF808080"/>
      <name val="Arial"/>
      <family val="2"/>
    </font>
    <font>
      <b/>
      <sz val="13"/>
      <color rgb="FF1F3864"/>
      <name val="Arial"/>
      <family val="2"/>
    </font>
    <font>
      <sz val="9"/>
      <color rgb="FF0000FF"/>
      <name val="Arial"/>
      <family val="2"/>
    </font>
    <font>
      <i/>
      <sz val="8"/>
      <color rgb="FF808080"/>
      <name val="Arial"/>
      <family val="2"/>
    </font>
    <font>
      <b/>
      <sz val="9"/>
      <color rgb="FF0000FF"/>
      <name val="Arial"/>
      <family val="2"/>
    </font>
    <font>
      <sz val="9"/>
      <color rgb="FF008000"/>
      <name val="Arial"/>
      <family val="2"/>
    </font>
    <font>
      <b/>
      <sz val="8"/>
      <color rgb="FF1F3864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sz val="10"/>
      <color rgb="FF1F3864"/>
      <name val="Arial"/>
      <family val="2"/>
    </font>
    <font>
      <b/>
      <sz val="9"/>
      <color rgb="FF008000"/>
      <name val="Arial"/>
      <family val="2"/>
    </font>
    <font>
      <b/>
      <sz val="9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medium">
        <color rgb="FF40404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/>
    <xf numFmtId="0" fontId="0" fillId="3" borderId="0" xfId="0" applyFill="1"/>
    <xf numFmtId="0" fontId="7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164" fontId="12" fillId="5" borderId="0" xfId="0" applyNumberFormat="1" applyFont="1" applyFill="1"/>
    <xf numFmtId="165" fontId="12" fillId="5" borderId="0" xfId="0" applyNumberFormat="1" applyFont="1" applyFill="1"/>
    <xf numFmtId="164" fontId="8" fillId="0" borderId="0" xfId="0" applyNumberFormat="1" applyFont="1"/>
    <xf numFmtId="165" fontId="12" fillId="0" borderId="0" xfId="0" applyNumberFormat="1" applyFont="1"/>
    <xf numFmtId="166" fontId="12" fillId="5" borderId="0" xfId="0" applyNumberFormat="1" applyFont="1" applyFill="1"/>
    <xf numFmtId="166" fontId="12" fillId="0" borderId="0" xfId="0" applyNumberFormat="1" applyFont="1"/>
    <xf numFmtId="164" fontId="12" fillId="0" borderId="0" xfId="0" applyNumberFormat="1" applyFont="1"/>
    <xf numFmtId="167" fontId="12" fillId="5" borderId="0" xfId="0" applyNumberFormat="1" applyFont="1" applyFill="1"/>
    <xf numFmtId="167" fontId="12" fillId="0" borderId="0" xfId="0" applyNumberFormat="1" applyFont="1"/>
    <xf numFmtId="0" fontId="13" fillId="0" borderId="0" xfId="0" applyFont="1"/>
    <xf numFmtId="166" fontId="8" fillId="0" borderId="0" xfId="0" applyNumberFormat="1" applyFont="1"/>
    <xf numFmtId="167" fontId="8" fillId="0" borderId="0" xfId="0" applyNumberFormat="1" applyFont="1"/>
    <xf numFmtId="0" fontId="7" fillId="4" borderId="0" xfId="0" applyFont="1" applyFill="1"/>
    <xf numFmtId="168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166" fontId="14" fillId="0" borderId="0" xfId="0" applyNumberFormat="1" applyFont="1" applyAlignment="1">
      <alignment horizontal="center" vertical="center" wrapText="1"/>
    </xf>
    <xf numFmtId="167" fontId="15" fillId="0" borderId="0" xfId="0" applyNumberFormat="1" applyFont="1"/>
    <xf numFmtId="167" fontId="8" fillId="3" borderId="0" xfId="0" applyNumberFormat="1" applyFont="1" applyFill="1"/>
    <xf numFmtId="167" fontId="7" fillId="3" borderId="0" xfId="0" applyNumberFormat="1" applyFont="1" applyFill="1"/>
    <xf numFmtId="167" fontId="6" fillId="0" borderId="0" xfId="0" applyNumberFormat="1" applyFont="1"/>
    <xf numFmtId="166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center" vertical="center" wrapText="1"/>
    </xf>
    <xf numFmtId="0" fontId="17" fillId="0" borderId="0" xfId="0" applyFont="1"/>
    <xf numFmtId="166" fontId="17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18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center" vertical="center" wrapText="1"/>
    </xf>
    <xf numFmtId="166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66" fontId="19" fillId="5" borderId="0" xfId="0" applyNumberFormat="1" applyFont="1" applyFill="1" applyAlignment="1">
      <alignment horizontal="center" vertical="center" wrapText="1"/>
    </xf>
    <xf numFmtId="0" fontId="20" fillId="0" borderId="0" xfId="0" applyFont="1"/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5" fontId="15" fillId="0" borderId="0" xfId="0" applyNumberFormat="1" applyFont="1"/>
    <xf numFmtId="164" fontId="15" fillId="0" borderId="0" xfId="0" applyNumberFormat="1" applyFont="1"/>
    <xf numFmtId="166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/>
    <xf numFmtId="166" fontId="6" fillId="0" borderId="0" xfId="0" applyNumberFormat="1" applyFont="1"/>
    <xf numFmtId="166" fontId="15" fillId="0" borderId="0" xfId="0" applyNumberFormat="1" applyFont="1"/>
    <xf numFmtId="0" fontId="8" fillId="3" borderId="0" xfId="0" applyFont="1" applyFill="1"/>
    <xf numFmtId="167" fontId="7" fillId="3" borderId="1" xfId="0" applyNumberFormat="1" applyFont="1" applyFill="1" applyBorder="1"/>
    <xf numFmtId="167" fontId="21" fillId="0" borderId="0" xfId="0" applyNumberFormat="1" applyFont="1"/>
    <xf numFmtId="165" fontId="9" fillId="0" borderId="0" xfId="0" applyNumberFormat="1" applyFont="1"/>
    <xf numFmtId="164" fontId="7" fillId="3" borderId="0" xfId="0" applyNumberFormat="1" applyFont="1" applyFill="1"/>
    <xf numFmtId="168" fontId="7" fillId="0" borderId="0" xfId="0" applyNumberFormat="1" applyFont="1"/>
    <xf numFmtId="168" fontId="8" fillId="0" borderId="0" xfId="0" applyNumberFormat="1" applyFont="1"/>
    <xf numFmtId="166" fontId="21" fillId="0" borderId="0" xfId="0" applyNumberFormat="1" applyFont="1"/>
    <xf numFmtId="165" fontId="7" fillId="0" borderId="0" xfId="0" applyNumberFormat="1" applyFont="1"/>
    <xf numFmtId="166" fontId="14" fillId="4" borderId="0" xfId="0" applyNumberFormat="1" applyFont="1" applyFill="1" applyAlignment="1">
      <alignment horizontal="center" vertical="center" wrapText="1"/>
    </xf>
    <xf numFmtId="164" fontId="14" fillId="4" borderId="0" xfId="0" applyNumberFormat="1" applyFont="1" applyFill="1" applyAlignment="1">
      <alignment horizontal="center" vertical="center" wrapText="1"/>
    </xf>
    <xf numFmtId="167" fontId="8" fillId="5" borderId="0" xfId="0" applyNumberFormat="1" applyFont="1" applyFill="1"/>
    <xf numFmtId="0" fontId="15" fillId="0" borderId="0" xfId="0" applyFont="1"/>
    <xf numFmtId="167" fontId="7" fillId="0" borderId="0" xfId="0" applyNumberFormat="1" applyFont="1"/>
    <xf numFmtId="169" fontId="7" fillId="0" borderId="0" xfId="0" applyNumberFormat="1" applyFont="1"/>
    <xf numFmtId="0" fontId="22" fillId="0" borderId="0" xfId="0" applyFont="1"/>
    <xf numFmtId="167" fontId="9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showGridLines="0" topLeftCell="A17" zoomScale="176" zoomScaleNormal="100" workbookViewId="0"/>
  </sheetViews>
  <sheetFormatPr baseColWidth="10" defaultColWidth="8.6640625" defaultRowHeight="15" x14ac:dyDescent="0.2"/>
  <cols>
    <col min="1" max="1" width="2.5" customWidth="1"/>
    <col min="2" max="2" width="40" customWidth="1"/>
    <col min="3" max="3" width="14" customWidth="1"/>
    <col min="4" max="4" width="54" customWidth="1"/>
  </cols>
  <sheetData>
    <row r="2" spans="2:4" ht="30" customHeight="1" x14ac:dyDescent="0.25">
      <c r="B2" s="1" t="s">
        <v>0</v>
      </c>
    </row>
    <row r="3" spans="2:4" ht="16" x14ac:dyDescent="0.2">
      <c r="B3" s="2" t="s">
        <v>1</v>
      </c>
    </row>
    <row r="4" spans="2:4" x14ac:dyDescent="0.2">
      <c r="B4" s="3" t="s">
        <v>2</v>
      </c>
    </row>
    <row r="5" spans="2:4" x14ac:dyDescent="0.2">
      <c r="B5" s="4" t="s">
        <v>3</v>
      </c>
    </row>
    <row r="7" spans="2:4" x14ac:dyDescent="0.2">
      <c r="B7" s="5" t="s">
        <v>4</v>
      </c>
      <c r="C7" s="6"/>
      <c r="D7" s="6"/>
    </row>
    <row r="8" spans="2:4" x14ac:dyDescent="0.2">
      <c r="B8" s="7" t="s">
        <v>5</v>
      </c>
      <c r="C8" s="8"/>
      <c r="D8" s="9" t="s">
        <v>6</v>
      </c>
    </row>
    <row r="9" spans="2:4" x14ac:dyDescent="0.2">
      <c r="B9" s="10" t="s">
        <v>7</v>
      </c>
      <c r="D9" s="11" t="s">
        <v>8</v>
      </c>
    </row>
    <row r="10" spans="2:4" x14ac:dyDescent="0.2">
      <c r="B10" s="7" t="s">
        <v>9</v>
      </c>
      <c r="C10" s="8"/>
      <c r="D10" s="9" t="s">
        <v>10</v>
      </c>
    </row>
    <row r="11" spans="2:4" x14ac:dyDescent="0.2">
      <c r="B11" s="10" t="s">
        <v>11</v>
      </c>
      <c r="D11" s="11" t="s">
        <v>12</v>
      </c>
    </row>
    <row r="12" spans="2:4" x14ac:dyDescent="0.2">
      <c r="B12" s="7" t="s">
        <v>13</v>
      </c>
      <c r="C12" s="8"/>
      <c r="D12" s="9" t="s">
        <v>14</v>
      </c>
    </row>
    <row r="13" spans="2:4" x14ac:dyDescent="0.2">
      <c r="B13" s="10" t="s">
        <v>15</v>
      </c>
      <c r="D13" s="11" t="s">
        <v>16</v>
      </c>
    </row>
    <row r="14" spans="2:4" x14ac:dyDescent="0.2">
      <c r="B14" s="7" t="s">
        <v>17</v>
      </c>
      <c r="C14" s="8"/>
      <c r="D14" s="9" t="s">
        <v>18</v>
      </c>
    </row>
    <row r="15" spans="2:4" x14ac:dyDescent="0.2">
      <c r="B15" s="10" t="s">
        <v>19</v>
      </c>
      <c r="D15" s="11" t="s">
        <v>20</v>
      </c>
    </row>
    <row r="16" spans="2:4" x14ac:dyDescent="0.2">
      <c r="B16" s="7" t="s">
        <v>21</v>
      </c>
      <c r="C16" s="8"/>
      <c r="D16" s="9" t="s">
        <v>22</v>
      </c>
    </row>
    <row r="17" spans="2:4" x14ac:dyDescent="0.2">
      <c r="B17" s="10" t="s">
        <v>23</v>
      </c>
      <c r="D17" s="11" t="s">
        <v>24</v>
      </c>
    </row>
    <row r="18" spans="2:4" x14ac:dyDescent="0.2">
      <c r="B18" s="7" t="s">
        <v>25</v>
      </c>
      <c r="C18" s="8"/>
      <c r="D18" s="9" t="s">
        <v>26</v>
      </c>
    </row>
    <row r="20" spans="2:4" x14ac:dyDescent="0.2">
      <c r="B20" s="5" t="s">
        <v>27</v>
      </c>
      <c r="C20" s="6"/>
      <c r="D20" s="6"/>
    </row>
    <row r="21" spans="2:4" x14ac:dyDescent="0.2">
      <c r="B21" s="12" t="s">
        <v>28</v>
      </c>
      <c r="D21" s="13" t="s">
        <v>29</v>
      </c>
    </row>
    <row r="22" spans="2:4" x14ac:dyDescent="0.2">
      <c r="B22" s="12" t="s">
        <v>30</v>
      </c>
      <c r="D22" s="13" t="s">
        <v>31</v>
      </c>
    </row>
    <row r="23" spans="2:4" x14ac:dyDescent="0.2">
      <c r="B23" s="12" t="s">
        <v>32</v>
      </c>
      <c r="D23" s="13" t="s">
        <v>33</v>
      </c>
    </row>
    <row r="24" spans="2:4" x14ac:dyDescent="0.2">
      <c r="B24" s="12" t="s">
        <v>34</v>
      </c>
      <c r="D24" s="13" t="s">
        <v>35</v>
      </c>
    </row>
    <row r="25" spans="2:4" x14ac:dyDescent="0.2">
      <c r="B25" s="12" t="s">
        <v>36</v>
      </c>
      <c r="D25" s="13" t="s">
        <v>37</v>
      </c>
    </row>
    <row r="26" spans="2:4" x14ac:dyDescent="0.2">
      <c r="B26" s="12" t="s">
        <v>38</v>
      </c>
      <c r="D26" s="13" t="s">
        <v>39</v>
      </c>
    </row>
    <row r="27" spans="2:4" x14ac:dyDescent="0.2">
      <c r="B27" s="12" t="s">
        <v>40</v>
      </c>
      <c r="D27" s="13" t="s">
        <v>41</v>
      </c>
    </row>
    <row r="28" spans="2:4" x14ac:dyDescent="0.2">
      <c r="B28" s="12" t="s">
        <v>42</v>
      </c>
      <c r="D28" s="13" t="s">
        <v>43</v>
      </c>
    </row>
    <row r="29" spans="2:4" x14ac:dyDescent="0.2">
      <c r="B29" s="12" t="s">
        <v>44</v>
      </c>
      <c r="D29" s="13" t="s">
        <v>45</v>
      </c>
    </row>
    <row r="30" spans="2:4" x14ac:dyDescent="0.2">
      <c r="B30" s="12" t="s">
        <v>46</v>
      </c>
      <c r="D30" s="13" t="s">
        <v>47</v>
      </c>
    </row>
    <row r="31" spans="2:4" x14ac:dyDescent="0.2">
      <c r="B31" s="12" t="s">
        <v>48</v>
      </c>
      <c r="D31" s="13" t="s">
        <v>49</v>
      </c>
    </row>
    <row r="32" spans="2:4" x14ac:dyDescent="0.2">
      <c r="B32" s="12" t="s">
        <v>50</v>
      </c>
      <c r="D32" s="13" t="s">
        <v>51</v>
      </c>
    </row>
    <row r="34" spans="2:2" x14ac:dyDescent="0.2">
      <c r="B34" s="14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75"/>
  <sheetViews>
    <sheetView showGridLines="0" topLeftCell="A45" zoomScale="132" zoomScaleNormal="100" workbookViewId="0">
      <selection activeCell="H51" sqref="H51"/>
    </sheetView>
  </sheetViews>
  <sheetFormatPr baseColWidth="10" defaultColWidth="8.6640625" defaultRowHeight="15" x14ac:dyDescent="0.2"/>
  <cols>
    <col min="1" max="1" width="2.5" customWidth="1"/>
    <col min="2" max="2" width="52" customWidth="1"/>
    <col min="3" max="3" width="12" customWidth="1"/>
    <col min="4" max="4" width="13" customWidth="1"/>
    <col min="5" max="5" width="42" customWidth="1"/>
  </cols>
  <sheetData>
    <row r="1" spans="2:5" ht="17" x14ac:dyDescent="0.2">
      <c r="B1" s="15" t="s">
        <v>53</v>
      </c>
    </row>
    <row r="2" spans="2:5" x14ac:dyDescent="0.2">
      <c r="B2" s="13" t="s">
        <v>54</v>
      </c>
    </row>
    <row r="4" spans="2:5" x14ac:dyDescent="0.2">
      <c r="B4" s="5" t="s">
        <v>55</v>
      </c>
      <c r="C4" s="6"/>
      <c r="D4" s="6"/>
      <c r="E4" s="6"/>
    </row>
    <row r="5" spans="2:5" x14ac:dyDescent="0.2">
      <c r="B5" s="16" t="s">
        <v>56</v>
      </c>
      <c r="C5" s="17" t="s">
        <v>57</v>
      </c>
      <c r="D5" s="17" t="s">
        <v>58</v>
      </c>
      <c r="E5" s="17" t="s">
        <v>59</v>
      </c>
    </row>
    <row r="6" spans="2:5" x14ac:dyDescent="0.2">
      <c r="B6" s="10" t="s">
        <v>60</v>
      </c>
      <c r="C6" s="18">
        <v>10</v>
      </c>
      <c r="D6" s="14" t="s">
        <v>61</v>
      </c>
      <c r="E6" s="14" t="s">
        <v>62</v>
      </c>
    </row>
    <row r="7" spans="2:5" x14ac:dyDescent="0.2">
      <c r="B7" s="10" t="s">
        <v>63</v>
      </c>
      <c r="C7" s="19">
        <v>0.13</v>
      </c>
      <c r="D7" s="14" t="s">
        <v>64</v>
      </c>
      <c r="E7" s="14" t="s">
        <v>65</v>
      </c>
    </row>
    <row r="8" spans="2:5" x14ac:dyDescent="0.2">
      <c r="B8" s="12" t="s">
        <v>66</v>
      </c>
      <c r="C8" s="20">
        <f>C6/(1+C7)</f>
        <v>8.8495575221238951</v>
      </c>
      <c r="D8" s="14" t="s">
        <v>61</v>
      </c>
      <c r="E8" s="14" t="s">
        <v>67</v>
      </c>
    </row>
    <row r="9" spans="2:5" x14ac:dyDescent="0.2">
      <c r="B9" s="10" t="s">
        <v>68</v>
      </c>
      <c r="C9" s="21">
        <v>1.4999999999999999E-2</v>
      </c>
      <c r="D9" s="14" t="s">
        <v>64</v>
      </c>
      <c r="E9" s="14" t="s">
        <v>69</v>
      </c>
    </row>
    <row r="10" spans="2:5" x14ac:dyDescent="0.2">
      <c r="B10" s="10" t="s">
        <v>70</v>
      </c>
      <c r="C10" s="22">
        <v>20</v>
      </c>
      <c r="D10" s="14" t="s">
        <v>71</v>
      </c>
      <c r="E10" s="14" t="s">
        <v>72</v>
      </c>
    </row>
    <row r="11" spans="2:5" x14ac:dyDescent="0.2">
      <c r="B11" s="10" t="s">
        <v>73</v>
      </c>
      <c r="C11" s="23">
        <v>30</v>
      </c>
      <c r="D11" s="14" t="s">
        <v>74</v>
      </c>
      <c r="E11" s="14" t="s">
        <v>75</v>
      </c>
    </row>
    <row r="12" spans="2:5" x14ac:dyDescent="0.2">
      <c r="B12" s="10" t="s">
        <v>76</v>
      </c>
      <c r="C12" s="21">
        <v>0.05</v>
      </c>
      <c r="D12" s="14" t="s">
        <v>64</v>
      </c>
      <c r="E12" s="14" t="s">
        <v>77</v>
      </c>
    </row>
    <row r="14" spans="2:5" x14ac:dyDescent="0.2">
      <c r="B14" s="5" t="s">
        <v>78</v>
      </c>
      <c r="C14" s="6"/>
      <c r="D14" s="6"/>
      <c r="E14" s="6"/>
    </row>
    <row r="15" spans="2:5" x14ac:dyDescent="0.2">
      <c r="B15" s="16" t="s">
        <v>56</v>
      </c>
      <c r="C15" s="17" t="s">
        <v>57</v>
      </c>
      <c r="D15" s="17" t="s">
        <v>58</v>
      </c>
      <c r="E15" s="17" t="s">
        <v>59</v>
      </c>
    </row>
    <row r="16" spans="2:5" x14ac:dyDescent="0.2">
      <c r="B16" s="10" t="s">
        <v>79</v>
      </c>
      <c r="C16" s="24">
        <v>0.22</v>
      </c>
      <c r="D16" s="14" t="s">
        <v>61</v>
      </c>
      <c r="E16" s="14" t="s">
        <v>80</v>
      </c>
    </row>
    <row r="17" spans="2:5" x14ac:dyDescent="0.2">
      <c r="B17" s="10" t="s">
        <v>81</v>
      </c>
      <c r="C17" s="24">
        <v>0.24</v>
      </c>
      <c r="D17" s="14" t="s">
        <v>61</v>
      </c>
      <c r="E17" s="14" t="s">
        <v>80</v>
      </c>
    </row>
    <row r="18" spans="2:5" x14ac:dyDescent="0.2">
      <c r="B18" s="10" t="s">
        <v>82</v>
      </c>
      <c r="C18" s="24">
        <v>0.84</v>
      </c>
      <c r="D18" s="14" t="s">
        <v>61</v>
      </c>
      <c r="E18" s="14" t="s">
        <v>80</v>
      </c>
    </row>
    <row r="19" spans="2:5" x14ac:dyDescent="0.2">
      <c r="B19" s="10" t="s">
        <v>83</v>
      </c>
      <c r="C19" s="24">
        <v>1.44</v>
      </c>
      <c r="D19" s="14" t="s">
        <v>61</v>
      </c>
      <c r="E19" s="14" t="s">
        <v>80</v>
      </c>
    </row>
    <row r="20" spans="2:5" x14ac:dyDescent="0.2">
      <c r="B20" s="10" t="s">
        <v>84</v>
      </c>
      <c r="C20" s="24">
        <v>0.36099999999999999</v>
      </c>
      <c r="D20" s="14" t="s">
        <v>61</v>
      </c>
      <c r="E20" s="14" t="s">
        <v>80</v>
      </c>
    </row>
    <row r="21" spans="2:5" x14ac:dyDescent="0.2">
      <c r="B21" s="10" t="s">
        <v>85</v>
      </c>
      <c r="C21" s="24">
        <v>9.6000000000000002E-2</v>
      </c>
      <c r="D21" s="14" t="s">
        <v>61</v>
      </c>
      <c r="E21" s="14" t="s">
        <v>80</v>
      </c>
    </row>
    <row r="22" spans="2:5" x14ac:dyDescent="0.2">
      <c r="B22" s="10" t="s">
        <v>86</v>
      </c>
      <c r="C22" s="21">
        <v>0.03</v>
      </c>
      <c r="D22" s="14" t="s">
        <v>64</v>
      </c>
      <c r="E22" s="14" t="s">
        <v>87</v>
      </c>
    </row>
    <row r="23" spans="2:5" x14ac:dyDescent="0.2">
      <c r="B23" s="12" t="s">
        <v>88</v>
      </c>
      <c r="C23" s="20">
        <f>(C16+C17+C18+C19+C20+C21)*(1+C22)</f>
        <v>3.29291</v>
      </c>
      <c r="D23" s="14" t="s">
        <v>61</v>
      </c>
      <c r="E23" s="14" t="s">
        <v>89</v>
      </c>
    </row>
    <row r="25" spans="2:5" x14ac:dyDescent="0.2">
      <c r="B25" s="5" t="s">
        <v>90</v>
      </c>
      <c r="C25" s="6"/>
      <c r="D25" s="6"/>
      <c r="E25" s="6"/>
    </row>
    <row r="26" spans="2:5" x14ac:dyDescent="0.2">
      <c r="B26" s="16" t="s">
        <v>56</v>
      </c>
      <c r="C26" s="17" t="s">
        <v>57</v>
      </c>
      <c r="D26" s="17" t="s">
        <v>58</v>
      </c>
      <c r="E26" s="17" t="s">
        <v>59</v>
      </c>
    </row>
    <row r="27" spans="2:5" x14ac:dyDescent="0.2">
      <c r="B27" s="10" t="s">
        <v>91</v>
      </c>
      <c r="C27" s="25">
        <v>300</v>
      </c>
      <c r="D27" s="14" t="s">
        <v>92</v>
      </c>
      <c r="E27" s="14" t="s">
        <v>93</v>
      </c>
    </row>
    <row r="28" spans="2:5" x14ac:dyDescent="0.2">
      <c r="B28" s="10" t="s">
        <v>94</v>
      </c>
      <c r="C28" s="26">
        <v>350</v>
      </c>
      <c r="D28" s="14" t="s">
        <v>92</v>
      </c>
      <c r="E28" s="14" t="s">
        <v>95</v>
      </c>
    </row>
    <row r="29" spans="2:5" x14ac:dyDescent="0.2">
      <c r="B29" s="10" t="s">
        <v>96</v>
      </c>
      <c r="C29" s="26">
        <v>140</v>
      </c>
      <c r="D29" s="14" t="s">
        <v>92</v>
      </c>
      <c r="E29" s="14" t="s">
        <v>97</v>
      </c>
    </row>
    <row r="30" spans="2:5" x14ac:dyDescent="0.2">
      <c r="B30" s="10" t="s">
        <v>98</v>
      </c>
      <c r="C30" s="26">
        <v>45</v>
      </c>
      <c r="D30" s="14" t="s">
        <v>92</v>
      </c>
      <c r="E30" s="14" t="s">
        <v>80</v>
      </c>
    </row>
    <row r="31" spans="2:5" x14ac:dyDescent="0.2">
      <c r="B31" s="10" t="s">
        <v>99</v>
      </c>
      <c r="C31" s="26">
        <v>15</v>
      </c>
      <c r="D31" s="14" t="s">
        <v>92</v>
      </c>
      <c r="E31" s="14" t="s">
        <v>80</v>
      </c>
    </row>
    <row r="32" spans="2:5" x14ac:dyDescent="0.2">
      <c r="B32" s="10" t="s">
        <v>100</v>
      </c>
      <c r="C32" s="26">
        <v>12</v>
      </c>
      <c r="D32" s="14" t="s">
        <v>92</v>
      </c>
      <c r="E32" s="14" t="s">
        <v>80</v>
      </c>
    </row>
    <row r="33" spans="2:7" x14ac:dyDescent="0.2">
      <c r="B33" s="10" t="s">
        <v>101</v>
      </c>
      <c r="C33" s="26">
        <v>80</v>
      </c>
      <c r="D33" s="14" t="s">
        <v>92</v>
      </c>
      <c r="E33" s="14" t="s">
        <v>102</v>
      </c>
    </row>
    <row r="35" spans="2:7" x14ac:dyDescent="0.2">
      <c r="B35" s="5" t="s">
        <v>103</v>
      </c>
      <c r="C35" s="6"/>
      <c r="D35" s="6"/>
      <c r="E35" s="6"/>
    </row>
    <row r="36" spans="2:7" x14ac:dyDescent="0.2">
      <c r="B36" s="16" t="s">
        <v>56</v>
      </c>
      <c r="C36" s="17" t="s">
        <v>57</v>
      </c>
      <c r="D36" s="17" t="s">
        <v>58</v>
      </c>
      <c r="E36" s="17" t="s">
        <v>59</v>
      </c>
    </row>
    <row r="37" spans="2:7" x14ac:dyDescent="0.2">
      <c r="B37" s="10" t="s">
        <v>104</v>
      </c>
      <c r="C37" s="26">
        <v>150</v>
      </c>
      <c r="D37" s="14" t="s">
        <v>92</v>
      </c>
      <c r="E37" s="14" t="s">
        <v>105</v>
      </c>
    </row>
    <row r="38" spans="2:7" x14ac:dyDescent="0.2">
      <c r="B38" s="10" t="s">
        <v>106</v>
      </c>
      <c r="C38" s="26">
        <v>100</v>
      </c>
      <c r="D38" s="14" t="s">
        <v>92</v>
      </c>
      <c r="E38" s="14" t="s">
        <v>107</v>
      </c>
    </row>
    <row r="39" spans="2:7" x14ac:dyDescent="0.2">
      <c r="B39" s="10" t="s">
        <v>108</v>
      </c>
      <c r="C39" s="26">
        <v>150</v>
      </c>
      <c r="D39" s="14" t="s">
        <v>92</v>
      </c>
      <c r="E39" s="14" t="s">
        <v>109</v>
      </c>
    </row>
    <row r="41" spans="2:7" x14ac:dyDescent="0.2">
      <c r="B41" s="5" t="s">
        <v>110</v>
      </c>
      <c r="C41" s="6"/>
      <c r="D41" s="6"/>
      <c r="E41" s="6"/>
    </row>
    <row r="42" spans="2:7" x14ac:dyDescent="0.2">
      <c r="B42" s="16" t="s">
        <v>56</v>
      </c>
      <c r="C42" s="17" t="s">
        <v>57</v>
      </c>
      <c r="D42" s="17" t="s">
        <v>58</v>
      </c>
      <c r="E42" s="17" t="s">
        <v>59</v>
      </c>
    </row>
    <row r="43" spans="2:7" x14ac:dyDescent="0.2">
      <c r="B43" s="10" t="s">
        <v>111</v>
      </c>
      <c r="C43" s="25">
        <v>90</v>
      </c>
      <c r="D43" s="14" t="s">
        <v>112</v>
      </c>
      <c r="E43" s="14" t="s">
        <v>113</v>
      </c>
    </row>
    <row r="44" spans="2:7" x14ac:dyDescent="0.2">
      <c r="B44" s="27" t="s">
        <v>114</v>
      </c>
    </row>
    <row r="45" spans="2:7" x14ac:dyDescent="0.2">
      <c r="B45" s="27" t="s">
        <v>115</v>
      </c>
    </row>
    <row r="47" spans="2:7" x14ac:dyDescent="0.2">
      <c r="B47" s="5" t="s">
        <v>116</v>
      </c>
      <c r="C47" s="6"/>
      <c r="D47" s="6"/>
      <c r="E47" s="6"/>
    </row>
    <row r="48" spans="2:7" x14ac:dyDescent="0.2">
      <c r="B48" s="16" t="s">
        <v>56</v>
      </c>
      <c r="C48" s="17" t="s">
        <v>57</v>
      </c>
      <c r="D48" s="17" t="s">
        <v>58</v>
      </c>
      <c r="E48" s="17" t="s">
        <v>59</v>
      </c>
      <c r="G48" s="78"/>
    </row>
    <row r="49" spans="2:5" x14ac:dyDescent="0.2">
      <c r="B49" s="10" t="s">
        <v>117</v>
      </c>
      <c r="C49" s="22">
        <v>2</v>
      </c>
      <c r="D49" s="14" t="s">
        <v>118</v>
      </c>
      <c r="E49" s="14"/>
    </row>
    <row r="50" spans="2:5" x14ac:dyDescent="0.2">
      <c r="B50" s="10" t="s">
        <v>119</v>
      </c>
      <c r="C50" s="22">
        <v>1</v>
      </c>
      <c r="D50" s="14" t="s">
        <v>118</v>
      </c>
      <c r="E50" s="14"/>
    </row>
    <row r="51" spans="2:5" x14ac:dyDescent="0.2">
      <c r="B51" s="12" t="s">
        <v>120</v>
      </c>
      <c r="C51" s="28">
        <f>C49+C50</f>
        <v>3</v>
      </c>
      <c r="D51" s="14" t="s">
        <v>118</v>
      </c>
      <c r="E51" s="14" t="s">
        <v>67</v>
      </c>
    </row>
    <row r="52" spans="2:5" x14ac:dyDescent="0.2">
      <c r="B52" s="10" t="s">
        <v>121</v>
      </c>
      <c r="C52" s="25">
        <v>41900</v>
      </c>
      <c r="D52" s="14" t="s">
        <v>61</v>
      </c>
      <c r="E52" s="14" t="s">
        <v>122</v>
      </c>
    </row>
    <row r="53" spans="2:5" x14ac:dyDescent="0.2">
      <c r="B53" s="10" t="s">
        <v>123</v>
      </c>
      <c r="C53" s="26">
        <v>2500</v>
      </c>
      <c r="D53" s="14" t="s">
        <v>61</v>
      </c>
      <c r="E53" s="14" t="s">
        <v>124</v>
      </c>
    </row>
    <row r="54" spans="2:5" x14ac:dyDescent="0.2">
      <c r="B54" s="10" t="s">
        <v>125</v>
      </c>
      <c r="C54" s="26">
        <v>0</v>
      </c>
      <c r="D54" s="14" t="s">
        <v>61</v>
      </c>
      <c r="E54" s="14" t="s">
        <v>126</v>
      </c>
    </row>
    <row r="55" spans="2:5" x14ac:dyDescent="0.2">
      <c r="B55" s="10" t="s">
        <v>127</v>
      </c>
      <c r="C55" s="26">
        <v>2000</v>
      </c>
      <c r="D55" s="14" t="s">
        <v>61</v>
      </c>
      <c r="E55" s="14" t="s">
        <v>128</v>
      </c>
    </row>
    <row r="56" spans="2:5" x14ac:dyDescent="0.2">
      <c r="B56" s="12" t="s">
        <v>129</v>
      </c>
      <c r="C56" s="29">
        <f>C51*C52+C54</f>
        <v>125700</v>
      </c>
      <c r="D56" s="14" t="s">
        <v>61</v>
      </c>
      <c r="E56" s="14" t="s">
        <v>67</v>
      </c>
    </row>
    <row r="57" spans="2:5" x14ac:dyDescent="0.2">
      <c r="B57" s="12" t="s">
        <v>130</v>
      </c>
      <c r="C57" s="29">
        <f>C51*C53</f>
        <v>7500</v>
      </c>
      <c r="D57" s="14" t="s">
        <v>61</v>
      </c>
      <c r="E57" s="14" t="s">
        <v>67</v>
      </c>
    </row>
    <row r="58" spans="2:5" x14ac:dyDescent="0.2">
      <c r="B58" s="12" t="s">
        <v>131</v>
      </c>
      <c r="C58" s="29">
        <f>C56+C57+C55</f>
        <v>135200</v>
      </c>
      <c r="D58" s="14" t="s">
        <v>61</v>
      </c>
      <c r="E58" s="14" t="s">
        <v>67</v>
      </c>
    </row>
    <row r="60" spans="2:5" x14ac:dyDescent="0.2">
      <c r="B60" s="5" t="s">
        <v>132</v>
      </c>
      <c r="C60" s="6"/>
      <c r="D60" s="6"/>
      <c r="E60" s="6"/>
    </row>
    <row r="61" spans="2:5" x14ac:dyDescent="0.2">
      <c r="B61" s="16" t="s">
        <v>56</v>
      </c>
      <c r="C61" s="17" t="s">
        <v>57</v>
      </c>
      <c r="D61" s="17" t="s">
        <v>58</v>
      </c>
      <c r="E61" s="17" t="s">
        <v>59</v>
      </c>
    </row>
    <row r="62" spans="2:5" x14ac:dyDescent="0.2">
      <c r="B62" s="10" t="s">
        <v>133</v>
      </c>
      <c r="C62" s="21">
        <v>0.2</v>
      </c>
      <c r="D62" s="14" t="s">
        <v>64</v>
      </c>
      <c r="E62" s="14" t="s">
        <v>134</v>
      </c>
    </row>
    <row r="63" spans="2:5" x14ac:dyDescent="0.2">
      <c r="B63" s="12" t="s">
        <v>135</v>
      </c>
      <c r="C63" s="29">
        <f>C56*(1-C62)</f>
        <v>100560</v>
      </c>
      <c r="D63" s="14" t="s">
        <v>61</v>
      </c>
      <c r="E63" s="14" t="s">
        <v>67</v>
      </c>
    </row>
    <row r="64" spans="2:5" x14ac:dyDescent="0.2">
      <c r="B64" s="10" t="s">
        <v>136</v>
      </c>
      <c r="C64" s="19">
        <v>0.08</v>
      </c>
      <c r="D64" s="14" t="s">
        <v>64</v>
      </c>
      <c r="E64" s="14" t="s">
        <v>137</v>
      </c>
    </row>
    <row r="65" spans="2:14" x14ac:dyDescent="0.2">
      <c r="B65" s="10" t="s">
        <v>138</v>
      </c>
      <c r="C65" s="23">
        <v>5</v>
      </c>
      <c r="D65" s="14" t="s">
        <v>139</v>
      </c>
      <c r="E65" s="14" t="s">
        <v>140</v>
      </c>
    </row>
    <row r="66" spans="2:14" x14ac:dyDescent="0.2">
      <c r="B66" s="12" t="s">
        <v>141</v>
      </c>
      <c r="C66" s="20">
        <f>PMT(C64/12,C65*12,-C63)</f>
        <v>2038.9942096428795</v>
      </c>
      <c r="D66" s="14" t="s">
        <v>61</v>
      </c>
      <c r="E66" s="14" t="s">
        <v>67</v>
      </c>
    </row>
    <row r="67" spans="2:14" x14ac:dyDescent="0.2">
      <c r="B67" s="10" t="s">
        <v>142</v>
      </c>
      <c r="C67" s="21">
        <v>0.16</v>
      </c>
      <c r="D67" s="14" t="s">
        <v>64</v>
      </c>
      <c r="E67" s="14" t="s">
        <v>143</v>
      </c>
    </row>
    <row r="68" spans="2:14" x14ac:dyDescent="0.2">
      <c r="B68" s="10" t="s">
        <v>144</v>
      </c>
      <c r="C68" s="23">
        <v>8</v>
      </c>
      <c r="D68" s="14" t="s">
        <v>139</v>
      </c>
      <c r="E68" s="14" t="s">
        <v>145</v>
      </c>
    </row>
    <row r="69" spans="2:14" x14ac:dyDescent="0.2">
      <c r="B69" s="12" t="s">
        <v>146</v>
      </c>
      <c r="C69" s="29">
        <f>(C56+C57)/C68</f>
        <v>16650</v>
      </c>
      <c r="D69" s="14" t="s">
        <v>61</v>
      </c>
      <c r="E69" s="14" t="s">
        <v>147</v>
      </c>
    </row>
    <row r="70" spans="2:14" x14ac:dyDescent="0.2">
      <c r="B70" s="10" t="s">
        <v>148</v>
      </c>
      <c r="C70" s="22">
        <v>5</v>
      </c>
      <c r="D70" s="14" t="s">
        <v>139</v>
      </c>
      <c r="E70" s="14" t="s">
        <v>149</v>
      </c>
    </row>
    <row r="71" spans="2:14" x14ac:dyDescent="0.2">
      <c r="B71" s="12" t="s">
        <v>150</v>
      </c>
      <c r="C71" s="29">
        <f>C56*C62+C57+C55</f>
        <v>34640</v>
      </c>
      <c r="D71" s="14" t="s">
        <v>61</v>
      </c>
      <c r="E71" s="14" t="s">
        <v>151</v>
      </c>
    </row>
    <row r="73" spans="2:14" x14ac:dyDescent="0.2">
      <c r="B73" s="5" t="s">
        <v>152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2:14" x14ac:dyDescent="0.2">
      <c r="B74" s="30" t="s">
        <v>153</v>
      </c>
      <c r="C74" s="17" t="s">
        <v>154</v>
      </c>
      <c r="D74" s="17" t="s">
        <v>155</v>
      </c>
      <c r="E74" s="17" t="s">
        <v>156</v>
      </c>
      <c r="F74" s="17" t="s">
        <v>157</v>
      </c>
      <c r="G74" s="17" t="s">
        <v>158</v>
      </c>
      <c r="H74" s="17" t="s">
        <v>159</v>
      </c>
      <c r="I74" s="17" t="s">
        <v>160</v>
      </c>
      <c r="J74" s="17" t="s">
        <v>161</v>
      </c>
      <c r="K74" s="17" t="s">
        <v>162</v>
      </c>
      <c r="L74" s="17" t="s">
        <v>163</v>
      </c>
      <c r="M74" s="17" t="s">
        <v>164</v>
      </c>
      <c r="N74" s="17" t="s">
        <v>165</v>
      </c>
    </row>
    <row r="75" spans="2:14" x14ac:dyDescent="0.2">
      <c r="B75" s="10" t="s">
        <v>166</v>
      </c>
      <c r="C75" s="31">
        <v>0.4</v>
      </c>
      <c r="D75" s="31">
        <v>0.55000000000000004</v>
      </c>
      <c r="E75" s="31">
        <v>0.7</v>
      </c>
      <c r="F75" s="31">
        <v>0.8</v>
      </c>
      <c r="G75" s="31">
        <v>0.9</v>
      </c>
      <c r="H75" s="31">
        <v>1</v>
      </c>
      <c r="I75" s="31">
        <v>1.05</v>
      </c>
      <c r="J75" s="31">
        <v>1.1000000000000001</v>
      </c>
      <c r="K75" s="31">
        <v>1</v>
      </c>
      <c r="L75" s="31">
        <v>0.95</v>
      </c>
      <c r="M75" s="31">
        <v>0.95</v>
      </c>
      <c r="N75" s="31">
        <v>1.05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showGridLines="0" tabSelected="1" zoomScale="159" zoomScaleNormal="100" workbookViewId="0">
      <selection activeCell="D7" sqref="D7"/>
    </sheetView>
  </sheetViews>
  <sheetFormatPr baseColWidth="10" defaultColWidth="8.6640625" defaultRowHeight="15" x14ac:dyDescent="0.2"/>
  <cols>
    <col min="1" max="1" width="2.5" customWidth="1"/>
    <col min="2" max="2" width="22" customWidth="1"/>
    <col min="3" max="3" width="12" customWidth="1"/>
    <col min="4" max="4" width="28" customWidth="1"/>
    <col min="5" max="5" width="9" customWidth="1"/>
    <col min="6" max="6" width="11" customWidth="1"/>
    <col min="7" max="7" width="12" customWidth="1"/>
    <col min="8" max="8" width="11" customWidth="1"/>
    <col min="9" max="9" width="10" customWidth="1"/>
    <col min="10" max="10" width="15" customWidth="1"/>
    <col min="11" max="11" width="11" customWidth="1"/>
    <col min="12" max="12" width="13" customWidth="1"/>
  </cols>
  <sheetData>
    <row r="1" spans="2:12" ht="17" x14ac:dyDescent="0.2">
      <c r="B1" s="15" t="s">
        <v>167</v>
      </c>
    </row>
    <row r="2" spans="2:12" x14ac:dyDescent="0.2">
      <c r="B2" s="13" t="s">
        <v>168</v>
      </c>
    </row>
    <row r="4" spans="2:12" x14ac:dyDescent="0.2">
      <c r="B4" s="16" t="s">
        <v>169</v>
      </c>
      <c r="C4" s="16" t="s">
        <v>170</v>
      </c>
      <c r="D4" s="16" t="s">
        <v>171</v>
      </c>
      <c r="E4" s="17" t="s">
        <v>172</v>
      </c>
      <c r="F4" s="17" t="s">
        <v>173</v>
      </c>
      <c r="G4" s="17" t="s">
        <v>174</v>
      </c>
      <c r="H4" s="17" t="s">
        <v>175</v>
      </c>
      <c r="I4" s="17" t="s">
        <v>176</v>
      </c>
      <c r="J4" s="17" t="s">
        <v>177</v>
      </c>
      <c r="K4" s="17" t="s">
        <v>178</v>
      </c>
      <c r="L4" s="17" t="s">
        <v>179</v>
      </c>
    </row>
    <row r="5" spans="2:12" x14ac:dyDescent="0.2">
      <c r="B5" s="10" t="s">
        <v>180</v>
      </c>
      <c r="C5" s="32" t="s">
        <v>181</v>
      </c>
      <c r="D5" s="33" t="s">
        <v>718</v>
      </c>
      <c r="E5" s="34">
        <v>1</v>
      </c>
      <c r="F5" s="35">
        <f>Pressupostos!C27</f>
        <v>300</v>
      </c>
      <c r="G5" s="35">
        <f>Pressupostos!C28</f>
        <v>350</v>
      </c>
      <c r="H5" s="35">
        <f>Pressupostos!C29</f>
        <v>140</v>
      </c>
      <c r="I5" s="35">
        <f>Pressupostos!C30</f>
        <v>45</v>
      </c>
      <c r="J5" s="35">
        <f>Pressupostos!C31+Pressupostos!C32</f>
        <v>27</v>
      </c>
      <c r="K5" s="35">
        <f>Pressupostos!C33</f>
        <v>80</v>
      </c>
      <c r="L5" s="29">
        <f t="shared" ref="L5:L10" si="0">E5*(F5+G5+H5+I5+J5+K5)</f>
        <v>942</v>
      </c>
    </row>
    <row r="6" spans="2:12" x14ac:dyDescent="0.2">
      <c r="B6" s="10" t="s">
        <v>182</v>
      </c>
      <c r="C6" s="32" t="s">
        <v>181</v>
      </c>
      <c r="D6" s="33" t="s">
        <v>719</v>
      </c>
      <c r="E6" s="34">
        <v>1</v>
      </c>
      <c r="F6" s="35">
        <f>Pressupostos!C27</f>
        <v>300</v>
      </c>
      <c r="G6" s="35">
        <f>Pressupostos!C28</f>
        <v>350</v>
      </c>
      <c r="H6" s="35">
        <f>Pressupostos!C29</f>
        <v>140</v>
      </c>
      <c r="I6" s="35">
        <f>Pressupostos!C30</f>
        <v>45</v>
      </c>
      <c r="J6" s="35">
        <f>Pressupostos!C31+Pressupostos!C32</f>
        <v>27</v>
      </c>
      <c r="K6" s="35">
        <f>Pressupostos!C33</f>
        <v>80</v>
      </c>
      <c r="L6" s="29">
        <f t="shared" si="0"/>
        <v>942</v>
      </c>
    </row>
    <row r="7" spans="2:12" x14ac:dyDescent="0.2">
      <c r="B7" s="10" t="s">
        <v>183</v>
      </c>
      <c r="C7" s="32" t="s">
        <v>184</v>
      </c>
      <c r="D7" s="33" t="s">
        <v>185</v>
      </c>
      <c r="E7" s="34">
        <v>1</v>
      </c>
      <c r="F7" s="35">
        <f>0</f>
        <v>0</v>
      </c>
      <c r="G7" s="35">
        <f>0</f>
        <v>0</v>
      </c>
      <c r="H7" s="35">
        <f>Pressupostos!C29</f>
        <v>140</v>
      </c>
      <c r="I7" s="35">
        <f>Pressupostos!C30</f>
        <v>45</v>
      </c>
      <c r="J7" s="35">
        <f>Pressupostos!C31+Pressupostos!C32</f>
        <v>27</v>
      </c>
      <c r="K7" s="35">
        <f>Pressupostos!C33</f>
        <v>80</v>
      </c>
      <c r="L7" s="29">
        <f t="shared" si="0"/>
        <v>292</v>
      </c>
    </row>
    <row r="8" spans="2:12" x14ac:dyDescent="0.2">
      <c r="B8" s="13" t="s">
        <v>186</v>
      </c>
      <c r="C8" s="32"/>
      <c r="D8" s="33"/>
      <c r="E8" s="34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9">
        <f t="shared" si="0"/>
        <v>0</v>
      </c>
    </row>
    <row r="9" spans="2:12" x14ac:dyDescent="0.2">
      <c r="B9" s="13" t="s">
        <v>186</v>
      </c>
      <c r="C9" s="32"/>
      <c r="D9" s="33"/>
      <c r="E9" s="34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9">
        <f t="shared" si="0"/>
        <v>0</v>
      </c>
    </row>
    <row r="10" spans="2:12" x14ac:dyDescent="0.2">
      <c r="B10" s="13" t="s">
        <v>186</v>
      </c>
      <c r="C10" s="32"/>
      <c r="D10" s="33"/>
      <c r="E10" s="34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9">
        <f t="shared" si="0"/>
        <v>0</v>
      </c>
    </row>
    <row r="12" spans="2:12" x14ac:dyDescent="0.2">
      <c r="B12" s="9" t="s">
        <v>187</v>
      </c>
      <c r="C12" s="8"/>
      <c r="D12" s="8"/>
      <c r="E12" s="8"/>
      <c r="F12" s="36">
        <f t="shared" ref="F12:K12" si="1">SUMPRODUCT($E$5:$E$10,F5:F10)</f>
        <v>600</v>
      </c>
      <c r="G12" s="36">
        <f t="shared" si="1"/>
        <v>700</v>
      </c>
      <c r="H12" s="36">
        <f t="shared" si="1"/>
        <v>420</v>
      </c>
      <c r="I12" s="36">
        <f t="shared" si="1"/>
        <v>135</v>
      </c>
      <c r="J12" s="36">
        <f t="shared" si="1"/>
        <v>81</v>
      </c>
      <c r="K12" s="36">
        <f t="shared" si="1"/>
        <v>240</v>
      </c>
      <c r="L12" s="37">
        <f>SUM(F12:K12)</f>
        <v>2176</v>
      </c>
    </row>
    <row r="14" spans="2:12" x14ac:dyDescent="0.2">
      <c r="B14" s="10" t="s">
        <v>188</v>
      </c>
      <c r="L14" s="38">
        <f>SUMPRODUCT(($C$5:$C$10="Fixa")*$E$5:$E$10*(F5:F10+G5:G10+H5:H10+I5:I10+J5:J10+K5:K10))</f>
        <v>1884</v>
      </c>
    </row>
    <row r="15" spans="2:12" x14ac:dyDescent="0.2">
      <c r="B15" s="10" t="s">
        <v>189</v>
      </c>
      <c r="L15" s="38">
        <f>SUMPRODUCT(($C$5:$C$10="Móvel")*$E$5:$E$10*(F5:F10+G5:G10+H5:H10+I5:I10+J5:J10+K5:K10))</f>
        <v>292</v>
      </c>
    </row>
    <row r="17" spans="2:5" x14ac:dyDescent="0.2">
      <c r="B17" s="10" t="s">
        <v>190</v>
      </c>
      <c r="E17" s="39">
        <f>SUMPRODUCT(($C$5:$C$10="Fixa")*$E$5:$E$10)</f>
        <v>2</v>
      </c>
    </row>
    <row r="18" spans="2:5" x14ac:dyDescent="0.2">
      <c r="B18" s="10" t="s">
        <v>191</v>
      </c>
      <c r="E18" s="39">
        <f>SUMPRODUCT(($C$5:$C$10="Móvel")*$E$5:$E$10)</f>
        <v>1</v>
      </c>
    </row>
    <row r="19" spans="2:5" x14ac:dyDescent="0.2">
      <c r="B19" s="12" t="s">
        <v>192</v>
      </c>
      <c r="E19" s="40" t="str">
        <f>IF(AND(E17=Pressupostos!C49,E18=Pressupostos!C50),"OK","VERIFICAR")</f>
        <v>OK</v>
      </c>
    </row>
    <row r="21" spans="2:5" x14ac:dyDescent="0.2">
      <c r="B21" s="27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126"/>
  <sheetViews>
    <sheetView showGridLines="0" zoomScaleNormal="100" workbookViewId="0">
      <selection activeCell="M18" sqref="M18"/>
    </sheetView>
  </sheetViews>
  <sheetFormatPr baseColWidth="10" defaultColWidth="8.6640625" defaultRowHeight="15" x14ac:dyDescent="0.2"/>
  <cols>
    <col min="1" max="1" width="2.5" customWidth="1"/>
    <col min="2" max="2" width="34" customWidth="1"/>
    <col min="3" max="3" width="20" customWidth="1"/>
    <col min="4" max="4" width="16" customWidth="1"/>
    <col min="5" max="5" width="6" customWidth="1"/>
    <col min="6" max="6" width="22" customWidth="1"/>
    <col min="7" max="7" width="18" customWidth="1"/>
    <col min="8" max="8" width="7" customWidth="1"/>
    <col min="9" max="11" width="9" customWidth="1"/>
    <col min="12" max="12" width="10" customWidth="1"/>
    <col min="13" max="13" width="8" customWidth="1"/>
    <col min="14" max="14" width="10" customWidth="1"/>
    <col min="15" max="15" width="11" customWidth="1"/>
    <col min="16" max="16" width="12" customWidth="1"/>
    <col min="17" max="17" width="26" customWidth="1"/>
  </cols>
  <sheetData>
    <row r="1" spans="2:17" ht="17" x14ac:dyDescent="0.2">
      <c r="B1" s="15" t="s">
        <v>194</v>
      </c>
    </row>
    <row r="2" spans="2:17" x14ac:dyDescent="0.2">
      <c r="B2" s="13" t="s">
        <v>195</v>
      </c>
    </row>
    <row r="4" spans="2:17" x14ac:dyDescent="0.2">
      <c r="B4" s="41" t="s">
        <v>196</v>
      </c>
      <c r="C4" s="41" t="s">
        <v>197</v>
      </c>
      <c r="D4" s="41" t="s">
        <v>198</v>
      </c>
      <c r="E4" s="42" t="s">
        <v>199</v>
      </c>
      <c r="F4" s="42" t="s">
        <v>200</v>
      </c>
      <c r="G4" s="42" t="s">
        <v>170</v>
      </c>
      <c r="H4" s="42" t="s">
        <v>201</v>
      </c>
      <c r="I4" s="42" t="s">
        <v>202</v>
      </c>
      <c r="J4" s="42" t="s">
        <v>203</v>
      </c>
      <c r="K4" s="42" t="s">
        <v>204</v>
      </c>
      <c r="L4" s="42" t="s">
        <v>205</v>
      </c>
      <c r="M4" s="42" t="s">
        <v>206</v>
      </c>
      <c r="N4" s="42" t="s">
        <v>207</v>
      </c>
      <c r="O4" s="42" t="s">
        <v>208</v>
      </c>
      <c r="P4" s="42" t="s">
        <v>209</v>
      </c>
      <c r="Q4" s="42" t="s">
        <v>210</v>
      </c>
    </row>
    <row r="5" spans="2:17" x14ac:dyDescent="0.2">
      <c r="B5" s="43" t="s">
        <v>211</v>
      </c>
      <c r="C5" s="43" t="s">
        <v>212</v>
      </c>
      <c r="D5" s="14" t="s">
        <v>213</v>
      </c>
      <c r="E5" s="44">
        <v>1</v>
      </c>
      <c r="F5" s="14" t="s">
        <v>214</v>
      </c>
      <c r="G5" s="14" t="s">
        <v>215</v>
      </c>
      <c r="H5" s="45">
        <v>3</v>
      </c>
      <c r="I5" s="46" t="s">
        <v>216</v>
      </c>
      <c r="J5" s="45">
        <v>90</v>
      </c>
      <c r="K5" s="47">
        <v>400</v>
      </c>
      <c r="L5" s="47">
        <v>200</v>
      </c>
      <c r="M5" s="48">
        <v>1</v>
      </c>
      <c r="N5" s="49">
        <f t="shared" ref="N5:N36" si="0">H5*J5*M5</f>
        <v>270</v>
      </c>
      <c r="O5" s="50">
        <f t="shared" ref="O5:O36" si="1">(K5+L5)*M5</f>
        <v>600</v>
      </c>
      <c r="P5" s="50">
        <f>N5*Pressupostos!C8</f>
        <v>2389.3805309734516</v>
      </c>
      <c r="Q5" s="14" t="s">
        <v>217</v>
      </c>
    </row>
    <row r="6" spans="2:17" x14ac:dyDescent="0.2">
      <c r="B6" s="43" t="s">
        <v>218</v>
      </c>
      <c r="C6" s="43" t="s">
        <v>213</v>
      </c>
      <c r="D6" s="14" t="s">
        <v>213</v>
      </c>
      <c r="E6" s="44">
        <v>1</v>
      </c>
      <c r="F6" s="14" t="s">
        <v>219</v>
      </c>
      <c r="G6" s="14" t="s">
        <v>220</v>
      </c>
      <c r="H6" s="45">
        <v>4</v>
      </c>
      <c r="I6" s="46" t="s">
        <v>216</v>
      </c>
      <c r="J6" s="45">
        <v>90</v>
      </c>
      <c r="K6" s="47">
        <v>400</v>
      </c>
      <c r="L6" s="47">
        <v>250</v>
      </c>
      <c r="M6" s="48">
        <v>1</v>
      </c>
      <c r="N6" s="49">
        <f t="shared" si="0"/>
        <v>360</v>
      </c>
      <c r="O6" s="50">
        <f t="shared" si="1"/>
        <v>650</v>
      </c>
      <c r="P6" s="50">
        <f>N6*Pressupostos!C8</f>
        <v>3185.8407079646022</v>
      </c>
      <c r="Q6" s="14" t="s">
        <v>221</v>
      </c>
    </row>
    <row r="7" spans="2:17" x14ac:dyDescent="0.2">
      <c r="B7" s="43" t="s">
        <v>222</v>
      </c>
      <c r="C7" s="43" t="s">
        <v>223</v>
      </c>
      <c r="D7" s="14" t="s">
        <v>224</v>
      </c>
      <c r="E7" s="44">
        <v>1</v>
      </c>
      <c r="F7" s="14" t="s">
        <v>225</v>
      </c>
      <c r="G7" s="14" t="s">
        <v>226</v>
      </c>
      <c r="H7" s="45">
        <v>4</v>
      </c>
      <c r="I7" s="46" t="s">
        <v>227</v>
      </c>
      <c r="J7" s="45">
        <v>50</v>
      </c>
      <c r="K7" s="47">
        <v>150</v>
      </c>
      <c r="L7" s="47">
        <v>500</v>
      </c>
      <c r="M7" s="48">
        <v>1</v>
      </c>
      <c r="N7" s="49">
        <f t="shared" si="0"/>
        <v>200</v>
      </c>
      <c r="O7" s="50">
        <f t="shared" si="1"/>
        <v>650</v>
      </c>
      <c r="P7" s="50">
        <f>N7*Pressupostos!C8</f>
        <v>1769.911504424779</v>
      </c>
      <c r="Q7" s="14" t="s">
        <v>228</v>
      </c>
    </row>
    <row r="8" spans="2:17" x14ac:dyDescent="0.2">
      <c r="B8" s="43" t="s">
        <v>229</v>
      </c>
      <c r="C8" s="43" t="s">
        <v>230</v>
      </c>
      <c r="D8" s="14" t="s">
        <v>231</v>
      </c>
      <c r="E8" s="44">
        <v>2</v>
      </c>
      <c r="F8" s="14" t="s">
        <v>232</v>
      </c>
      <c r="G8" s="14" t="s">
        <v>233</v>
      </c>
      <c r="H8" s="45">
        <v>4</v>
      </c>
      <c r="I8" s="46" t="s">
        <v>216</v>
      </c>
      <c r="J8" s="45">
        <v>90</v>
      </c>
      <c r="K8" s="47">
        <v>400</v>
      </c>
      <c r="L8" s="47">
        <v>120</v>
      </c>
      <c r="M8" s="48">
        <v>2</v>
      </c>
      <c r="N8" s="49">
        <f t="shared" si="0"/>
        <v>720</v>
      </c>
      <c r="O8" s="50">
        <f t="shared" si="1"/>
        <v>1040</v>
      </c>
      <c r="P8" s="50">
        <f>N8*Pressupostos!C8</f>
        <v>6371.6814159292044</v>
      </c>
      <c r="Q8" s="14" t="s">
        <v>229</v>
      </c>
    </row>
    <row r="9" spans="2:17" x14ac:dyDescent="0.2">
      <c r="B9" s="43" t="s">
        <v>234</v>
      </c>
      <c r="C9" s="43" t="s">
        <v>235</v>
      </c>
      <c r="D9" s="14" t="s">
        <v>231</v>
      </c>
      <c r="E9" s="44">
        <v>2</v>
      </c>
      <c r="F9" s="14" t="s">
        <v>236</v>
      </c>
      <c r="G9" s="14" t="s">
        <v>233</v>
      </c>
      <c r="H9" s="45">
        <v>6</v>
      </c>
      <c r="I9" s="46" t="s">
        <v>237</v>
      </c>
      <c r="J9" s="45">
        <v>150</v>
      </c>
      <c r="K9" s="47">
        <v>1000</v>
      </c>
      <c r="L9" s="47">
        <v>150</v>
      </c>
      <c r="M9" s="51">
        <v>0</v>
      </c>
      <c r="N9" s="49">
        <f t="shared" si="0"/>
        <v>0</v>
      </c>
      <c r="O9" s="50">
        <f t="shared" si="1"/>
        <v>0</v>
      </c>
      <c r="P9" s="50">
        <f>N9*Pressupostos!C8</f>
        <v>0</v>
      </c>
      <c r="Q9" s="14" t="s">
        <v>238</v>
      </c>
    </row>
    <row r="10" spans="2:17" x14ac:dyDescent="0.2">
      <c r="B10" s="43" t="s">
        <v>239</v>
      </c>
      <c r="C10" s="43" t="s">
        <v>240</v>
      </c>
      <c r="D10" s="14" t="s">
        <v>213</v>
      </c>
      <c r="E10" s="44">
        <v>2</v>
      </c>
      <c r="F10" s="14" t="s">
        <v>241</v>
      </c>
      <c r="G10" s="14" t="s">
        <v>233</v>
      </c>
      <c r="H10" s="45">
        <v>6</v>
      </c>
      <c r="I10" s="46" t="s">
        <v>237</v>
      </c>
      <c r="J10" s="45">
        <v>150</v>
      </c>
      <c r="K10" s="47">
        <v>1000</v>
      </c>
      <c r="L10" s="47">
        <v>250</v>
      </c>
      <c r="M10" s="48">
        <v>0</v>
      </c>
      <c r="N10" s="49">
        <f t="shared" si="0"/>
        <v>0</v>
      </c>
      <c r="O10" s="50">
        <f t="shared" si="1"/>
        <v>0</v>
      </c>
      <c r="P10" s="50">
        <f>N10*Pressupostos!C8</f>
        <v>0</v>
      </c>
      <c r="Q10" s="14" t="s">
        <v>238</v>
      </c>
    </row>
    <row r="11" spans="2:17" x14ac:dyDescent="0.2">
      <c r="B11" s="43" t="s">
        <v>242</v>
      </c>
      <c r="C11" s="43" t="s">
        <v>243</v>
      </c>
      <c r="D11" s="14" t="s">
        <v>244</v>
      </c>
      <c r="E11" s="44">
        <v>2</v>
      </c>
      <c r="F11" s="14" t="s">
        <v>241</v>
      </c>
      <c r="G11" s="14" t="s">
        <v>233</v>
      </c>
      <c r="H11" s="45">
        <v>5</v>
      </c>
      <c r="I11" s="46" t="s">
        <v>237</v>
      </c>
      <c r="J11" s="45">
        <v>150</v>
      </c>
      <c r="K11" s="47">
        <v>1000</v>
      </c>
      <c r="L11" s="47">
        <v>400</v>
      </c>
      <c r="M11" s="48">
        <v>0</v>
      </c>
      <c r="N11" s="49">
        <f t="shared" si="0"/>
        <v>0</v>
      </c>
      <c r="O11" s="50">
        <f t="shared" si="1"/>
        <v>0</v>
      </c>
      <c r="P11" s="50">
        <f>N11*Pressupostos!C8</f>
        <v>0</v>
      </c>
      <c r="Q11" s="14" t="s">
        <v>238</v>
      </c>
    </row>
    <row r="12" spans="2:17" x14ac:dyDescent="0.2">
      <c r="B12" s="43" t="s">
        <v>245</v>
      </c>
      <c r="C12" s="43" t="s">
        <v>246</v>
      </c>
      <c r="D12" s="14" t="s">
        <v>213</v>
      </c>
      <c r="E12" s="44">
        <v>2</v>
      </c>
      <c r="F12" s="14" t="s">
        <v>241</v>
      </c>
      <c r="G12" s="14" t="s">
        <v>233</v>
      </c>
      <c r="H12" s="45">
        <v>4</v>
      </c>
      <c r="I12" s="46" t="s">
        <v>216</v>
      </c>
      <c r="J12" s="45">
        <v>90</v>
      </c>
      <c r="K12" s="47">
        <v>400</v>
      </c>
      <c r="L12" s="47">
        <v>250</v>
      </c>
      <c r="M12" s="48">
        <v>0</v>
      </c>
      <c r="N12" s="49">
        <f t="shared" si="0"/>
        <v>0</v>
      </c>
      <c r="O12" s="50">
        <f t="shared" si="1"/>
        <v>0</v>
      </c>
      <c r="P12" s="50">
        <f>N12*Pressupostos!C8</f>
        <v>0</v>
      </c>
      <c r="Q12" s="14" t="s">
        <v>238</v>
      </c>
    </row>
    <row r="13" spans="2:17" x14ac:dyDescent="0.2">
      <c r="B13" s="43" t="s">
        <v>247</v>
      </c>
      <c r="C13" s="43" t="s">
        <v>248</v>
      </c>
      <c r="D13" s="14" t="s">
        <v>224</v>
      </c>
      <c r="E13" s="44">
        <v>2</v>
      </c>
      <c r="F13" s="14" t="s">
        <v>241</v>
      </c>
      <c r="G13" s="14" t="s">
        <v>249</v>
      </c>
      <c r="H13" s="45">
        <v>4</v>
      </c>
      <c r="I13" s="46" t="s">
        <v>216</v>
      </c>
      <c r="J13" s="45">
        <v>90</v>
      </c>
      <c r="K13" s="47">
        <v>400</v>
      </c>
      <c r="L13" s="47">
        <v>450</v>
      </c>
      <c r="M13" s="48">
        <v>0</v>
      </c>
      <c r="N13" s="49">
        <f t="shared" si="0"/>
        <v>0</v>
      </c>
      <c r="O13" s="50">
        <f t="shared" si="1"/>
        <v>0</v>
      </c>
      <c r="P13" s="50">
        <f>N13*Pressupostos!C8</f>
        <v>0</v>
      </c>
      <c r="Q13" s="14" t="s">
        <v>250</v>
      </c>
    </row>
    <row r="14" spans="2:17" x14ac:dyDescent="0.2">
      <c r="B14" s="43" t="s">
        <v>251</v>
      </c>
      <c r="C14" s="43" t="s">
        <v>252</v>
      </c>
      <c r="D14" s="14" t="s">
        <v>253</v>
      </c>
      <c r="E14" s="44">
        <v>2</v>
      </c>
      <c r="F14" s="14" t="s">
        <v>241</v>
      </c>
      <c r="G14" s="14" t="s">
        <v>233</v>
      </c>
      <c r="H14" s="45">
        <v>4</v>
      </c>
      <c r="I14" s="46" t="s">
        <v>227</v>
      </c>
      <c r="J14" s="45">
        <v>50</v>
      </c>
      <c r="K14" s="47">
        <v>150</v>
      </c>
      <c r="L14" s="47">
        <v>300</v>
      </c>
      <c r="M14" s="48">
        <v>0</v>
      </c>
      <c r="N14" s="49">
        <f t="shared" si="0"/>
        <v>0</v>
      </c>
      <c r="O14" s="50">
        <f t="shared" si="1"/>
        <v>0</v>
      </c>
      <c r="P14" s="50">
        <f>N14*Pressupostos!C8</f>
        <v>0</v>
      </c>
      <c r="Q14" s="14" t="s">
        <v>228</v>
      </c>
    </row>
    <row r="15" spans="2:17" x14ac:dyDescent="0.2">
      <c r="B15" s="43" t="s">
        <v>254</v>
      </c>
      <c r="C15" s="43" t="s">
        <v>255</v>
      </c>
      <c r="D15" s="14" t="s">
        <v>256</v>
      </c>
      <c r="E15" s="44">
        <v>2</v>
      </c>
      <c r="F15" s="14" t="s">
        <v>241</v>
      </c>
      <c r="G15" s="14" t="s">
        <v>233</v>
      </c>
      <c r="H15" s="45">
        <v>5</v>
      </c>
      <c r="I15" s="46" t="s">
        <v>216</v>
      </c>
      <c r="J15" s="45">
        <v>90</v>
      </c>
      <c r="K15" s="47">
        <v>400</v>
      </c>
      <c r="L15" s="47">
        <v>200</v>
      </c>
      <c r="M15" s="48">
        <v>1</v>
      </c>
      <c r="N15" s="49">
        <f t="shared" si="0"/>
        <v>450</v>
      </c>
      <c r="O15" s="50">
        <f t="shared" si="1"/>
        <v>600</v>
      </c>
      <c r="P15" s="50">
        <f>N15*Pressupostos!C8</f>
        <v>3982.3008849557527</v>
      </c>
      <c r="Q15" s="14" t="s">
        <v>257</v>
      </c>
    </row>
    <row r="16" spans="2:17" x14ac:dyDescent="0.2">
      <c r="B16" s="43" t="s">
        <v>258</v>
      </c>
      <c r="C16" s="43" t="s">
        <v>259</v>
      </c>
      <c r="D16" s="14" t="s">
        <v>259</v>
      </c>
      <c r="E16" s="44">
        <v>3</v>
      </c>
      <c r="F16" s="14" t="s">
        <v>260</v>
      </c>
      <c r="G16" s="14" t="s">
        <v>220</v>
      </c>
      <c r="H16" s="45">
        <v>7</v>
      </c>
      <c r="I16" s="46" t="s">
        <v>237</v>
      </c>
      <c r="J16" s="45">
        <v>150</v>
      </c>
      <c r="K16" s="47">
        <v>1000</v>
      </c>
      <c r="L16" s="47">
        <v>350</v>
      </c>
      <c r="M16" s="48">
        <v>1</v>
      </c>
      <c r="N16" s="49">
        <f t="shared" si="0"/>
        <v>1050</v>
      </c>
      <c r="O16" s="50">
        <f t="shared" si="1"/>
        <v>1350</v>
      </c>
      <c r="P16" s="50">
        <f>N16*Pressupostos!C8</f>
        <v>9292.0353982300894</v>
      </c>
      <c r="Q16" s="14" t="s">
        <v>238</v>
      </c>
    </row>
    <row r="17" spans="2:17" x14ac:dyDescent="0.2">
      <c r="B17" s="43" t="s">
        <v>261</v>
      </c>
      <c r="C17" s="43" t="s">
        <v>262</v>
      </c>
      <c r="D17" s="14" t="s">
        <v>263</v>
      </c>
      <c r="E17" s="44">
        <v>3</v>
      </c>
      <c r="F17" s="14" t="s">
        <v>260</v>
      </c>
      <c r="G17" s="14" t="s">
        <v>264</v>
      </c>
      <c r="H17" s="45">
        <v>7</v>
      </c>
      <c r="I17" s="46" t="s">
        <v>216</v>
      </c>
      <c r="J17" s="45">
        <v>90</v>
      </c>
      <c r="K17" s="47">
        <v>400</v>
      </c>
      <c r="L17" s="47">
        <v>150</v>
      </c>
      <c r="M17" s="48">
        <v>1</v>
      </c>
      <c r="N17" s="49">
        <f t="shared" si="0"/>
        <v>630</v>
      </c>
      <c r="O17" s="50">
        <f t="shared" si="1"/>
        <v>550</v>
      </c>
      <c r="P17" s="50">
        <f>N17*Pressupostos!C8</f>
        <v>5575.2212389380538</v>
      </c>
      <c r="Q17" s="14" t="s">
        <v>265</v>
      </c>
    </row>
    <row r="18" spans="2:17" x14ac:dyDescent="0.2">
      <c r="B18" s="43" t="s">
        <v>266</v>
      </c>
      <c r="C18" s="43" t="s">
        <v>267</v>
      </c>
      <c r="D18" s="14" t="s">
        <v>268</v>
      </c>
      <c r="E18" s="44">
        <v>3</v>
      </c>
      <c r="F18" s="14" t="s">
        <v>269</v>
      </c>
      <c r="G18" s="14" t="s">
        <v>220</v>
      </c>
      <c r="H18" s="45">
        <v>10</v>
      </c>
      <c r="I18" s="46" t="s">
        <v>216</v>
      </c>
      <c r="J18" s="45">
        <v>90</v>
      </c>
      <c r="K18" s="47">
        <v>400</v>
      </c>
      <c r="L18" s="47">
        <v>250</v>
      </c>
      <c r="M18" s="48">
        <v>0</v>
      </c>
      <c r="N18" s="49">
        <f t="shared" si="0"/>
        <v>0</v>
      </c>
      <c r="O18" s="50">
        <f t="shared" si="1"/>
        <v>0</v>
      </c>
      <c r="P18" s="50">
        <f>N18*Pressupostos!C8</f>
        <v>0</v>
      </c>
      <c r="Q18" s="14" t="s">
        <v>270</v>
      </c>
    </row>
    <row r="19" spans="2:17" x14ac:dyDescent="0.2">
      <c r="B19" s="43" t="s">
        <v>271</v>
      </c>
      <c r="C19" s="43" t="s">
        <v>262</v>
      </c>
      <c r="D19" s="14" t="s">
        <v>263</v>
      </c>
      <c r="E19" s="44">
        <v>3</v>
      </c>
      <c r="F19" s="14" t="s">
        <v>272</v>
      </c>
      <c r="G19" s="14" t="s">
        <v>273</v>
      </c>
      <c r="H19" s="45">
        <v>10</v>
      </c>
      <c r="I19" s="46" t="s">
        <v>237</v>
      </c>
      <c r="J19" s="45">
        <v>150</v>
      </c>
      <c r="K19" s="47">
        <v>1000</v>
      </c>
      <c r="L19" s="47">
        <v>150</v>
      </c>
      <c r="M19" s="51">
        <v>0</v>
      </c>
      <c r="N19" s="49">
        <f t="shared" si="0"/>
        <v>0</v>
      </c>
      <c r="O19" s="50">
        <f t="shared" si="1"/>
        <v>0</v>
      </c>
      <c r="P19" s="50">
        <f>N19*Pressupostos!C8</f>
        <v>0</v>
      </c>
      <c r="Q19" s="14" t="s">
        <v>265</v>
      </c>
    </row>
    <row r="20" spans="2:17" x14ac:dyDescent="0.2">
      <c r="B20" s="43" t="s">
        <v>274</v>
      </c>
      <c r="C20" s="43" t="s">
        <v>213</v>
      </c>
      <c r="D20" s="14" t="s">
        <v>213</v>
      </c>
      <c r="E20" s="44">
        <v>3</v>
      </c>
      <c r="F20" s="14" t="s">
        <v>275</v>
      </c>
      <c r="G20" s="14" t="s">
        <v>276</v>
      </c>
      <c r="H20" s="45">
        <v>30</v>
      </c>
      <c r="I20" s="46" t="s">
        <v>237</v>
      </c>
      <c r="J20" s="45">
        <v>150</v>
      </c>
      <c r="K20" s="47">
        <v>1000</v>
      </c>
      <c r="L20" s="47">
        <v>250</v>
      </c>
      <c r="M20" s="48">
        <v>0</v>
      </c>
      <c r="N20" s="49">
        <f t="shared" si="0"/>
        <v>0</v>
      </c>
      <c r="O20" s="50">
        <f t="shared" si="1"/>
        <v>0</v>
      </c>
      <c r="P20" s="50">
        <f>N20*Pressupostos!C8</f>
        <v>0</v>
      </c>
      <c r="Q20" s="14" t="s">
        <v>221</v>
      </c>
    </row>
    <row r="21" spans="2:17" x14ac:dyDescent="0.2">
      <c r="B21" s="43" t="s">
        <v>277</v>
      </c>
      <c r="C21" s="43" t="s">
        <v>278</v>
      </c>
      <c r="D21" s="14" t="s">
        <v>244</v>
      </c>
      <c r="E21" s="44">
        <v>4</v>
      </c>
      <c r="F21" s="14" t="s">
        <v>279</v>
      </c>
      <c r="G21" s="14" t="s">
        <v>280</v>
      </c>
      <c r="H21" s="45">
        <v>1</v>
      </c>
      <c r="I21" s="46" t="s">
        <v>216</v>
      </c>
      <c r="J21" s="45">
        <v>90</v>
      </c>
      <c r="K21" s="47">
        <v>400</v>
      </c>
      <c r="L21" s="47">
        <v>450</v>
      </c>
      <c r="M21" s="48">
        <v>0</v>
      </c>
      <c r="N21" s="49">
        <f t="shared" si="0"/>
        <v>0</v>
      </c>
      <c r="O21" s="50">
        <f t="shared" si="1"/>
        <v>0</v>
      </c>
      <c r="P21" s="50">
        <f>N21*Pressupostos!C8</f>
        <v>0</v>
      </c>
      <c r="Q21" s="14" t="s">
        <v>281</v>
      </c>
    </row>
    <row r="22" spans="2:17" x14ac:dyDescent="0.2">
      <c r="B22" s="43" t="s">
        <v>282</v>
      </c>
      <c r="C22" s="43" t="s">
        <v>243</v>
      </c>
      <c r="D22" s="14" t="s">
        <v>244</v>
      </c>
      <c r="E22" s="44">
        <v>4</v>
      </c>
      <c r="F22" s="14" t="s">
        <v>283</v>
      </c>
      <c r="G22" s="14" t="s">
        <v>284</v>
      </c>
      <c r="H22" s="45">
        <v>3</v>
      </c>
      <c r="I22" s="46" t="s">
        <v>237</v>
      </c>
      <c r="J22" s="45">
        <v>150</v>
      </c>
      <c r="K22" s="47">
        <v>1000</v>
      </c>
      <c r="L22" s="47">
        <v>400</v>
      </c>
      <c r="M22" s="48">
        <v>0</v>
      </c>
      <c r="N22" s="49">
        <f t="shared" si="0"/>
        <v>0</v>
      </c>
      <c r="O22" s="50">
        <f t="shared" si="1"/>
        <v>0</v>
      </c>
      <c r="P22" s="50">
        <f>N22*Pressupostos!C8</f>
        <v>0</v>
      </c>
      <c r="Q22" s="14" t="s">
        <v>285</v>
      </c>
    </row>
    <row r="23" spans="2:17" x14ac:dyDescent="0.2">
      <c r="B23" s="43" t="s">
        <v>286</v>
      </c>
      <c r="C23" s="43" t="s">
        <v>287</v>
      </c>
      <c r="D23" s="14" t="s">
        <v>256</v>
      </c>
      <c r="E23" s="44">
        <v>4</v>
      </c>
      <c r="F23" s="14" t="s">
        <v>288</v>
      </c>
      <c r="G23" s="14" t="s">
        <v>289</v>
      </c>
      <c r="H23" s="45">
        <v>6</v>
      </c>
      <c r="I23" s="46" t="s">
        <v>216</v>
      </c>
      <c r="J23" s="45">
        <v>90</v>
      </c>
      <c r="K23" s="47">
        <v>400</v>
      </c>
      <c r="L23" s="47">
        <v>200</v>
      </c>
      <c r="M23" s="48">
        <v>0</v>
      </c>
      <c r="N23" s="49">
        <f t="shared" si="0"/>
        <v>0</v>
      </c>
      <c r="O23" s="50">
        <f t="shared" si="1"/>
        <v>0</v>
      </c>
      <c r="P23" s="50">
        <f>N23*Pressupostos!C8</f>
        <v>0</v>
      </c>
      <c r="Q23" s="14" t="s">
        <v>290</v>
      </c>
    </row>
    <row r="24" spans="2:17" x14ac:dyDescent="0.2">
      <c r="B24" s="43" t="s">
        <v>291</v>
      </c>
      <c r="C24" s="43" t="s">
        <v>292</v>
      </c>
      <c r="D24" s="14" t="s">
        <v>293</v>
      </c>
      <c r="E24" s="44">
        <v>4</v>
      </c>
      <c r="F24" s="14" t="s">
        <v>294</v>
      </c>
      <c r="G24" s="14" t="s">
        <v>220</v>
      </c>
      <c r="H24" s="45">
        <v>2</v>
      </c>
      <c r="I24" s="46" t="s">
        <v>227</v>
      </c>
      <c r="J24" s="45">
        <v>50</v>
      </c>
      <c r="K24" s="47">
        <v>150</v>
      </c>
      <c r="L24" s="47">
        <v>400</v>
      </c>
      <c r="M24" s="48">
        <v>0</v>
      </c>
      <c r="N24" s="49">
        <f t="shared" si="0"/>
        <v>0</v>
      </c>
      <c r="O24" s="50">
        <f t="shared" si="1"/>
        <v>0</v>
      </c>
      <c r="P24" s="50">
        <f>N24*Pressupostos!C8</f>
        <v>0</v>
      </c>
      <c r="Q24" s="14" t="s">
        <v>295</v>
      </c>
    </row>
    <row r="25" spans="2:17" x14ac:dyDescent="0.2">
      <c r="B25" s="43" t="s">
        <v>296</v>
      </c>
      <c r="C25" s="43" t="s">
        <v>297</v>
      </c>
      <c r="D25" s="14" t="s">
        <v>293</v>
      </c>
      <c r="E25" s="44">
        <v>4</v>
      </c>
      <c r="F25" s="14" t="s">
        <v>298</v>
      </c>
      <c r="G25" s="14" t="s">
        <v>220</v>
      </c>
      <c r="H25" s="45">
        <v>3</v>
      </c>
      <c r="I25" s="46" t="s">
        <v>216</v>
      </c>
      <c r="J25" s="45">
        <v>90</v>
      </c>
      <c r="K25" s="47">
        <v>400</v>
      </c>
      <c r="L25" s="47">
        <v>420</v>
      </c>
      <c r="M25" s="48">
        <v>0</v>
      </c>
      <c r="N25" s="49">
        <f t="shared" si="0"/>
        <v>0</v>
      </c>
      <c r="O25" s="50">
        <f t="shared" si="1"/>
        <v>0</v>
      </c>
      <c r="P25" s="50">
        <f>N25*Pressupostos!C8</f>
        <v>0</v>
      </c>
      <c r="Q25" s="14" t="s">
        <v>228</v>
      </c>
    </row>
    <row r="26" spans="2:17" x14ac:dyDescent="0.2">
      <c r="B26" s="43" t="s">
        <v>299</v>
      </c>
      <c r="C26" s="43" t="s">
        <v>300</v>
      </c>
      <c r="D26" s="14" t="s">
        <v>300</v>
      </c>
      <c r="E26" s="44">
        <v>4</v>
      </c>
      <c r="F26" s="14" t="s">
        <v>301</v>
      </c>
      <c r="G26" s="14" t="s">
        <v>302</v>
      </c>
      <c r="H26" s="45">
        <v>8</v>
      </c>
      <c r="I26" s="46" t="s">
        <v>303</v>
      </c>
      <c r="J26" s="45">
        <v>200</v>
      </c>
      <c r="K26" s="47">
        <v>2500</v>
      </c>
      <c r="L26" s="47">
        <v>350</v>
      </c>
      <c r="M26" s="51">
        <v>0</v>
      </c>
      <c r="N26" s="49">
        <f t="shared" si="0"/>
        <v>0</v>
      </c>
      <c r="O26" s="50">
        <f t="shared" si="1"/>
        <v>0</v>
      </c>
      <c r="P26" s="50">
        <f>N26*Pressupostos!C8</f>
        <v>0</v>
      </c>
      <c r="Q26" s="14" t="s">
        <v>238</v>
      </c>
    </row>
    <row r="27" spans="2:17" x14ac:dyDescent="0.2">
      <c r="B27" s="43" t="s">
        <v>304</v>
      </c>
      <c r="C27" s="43" t="s">
        <v>305</v>
      </c>
      <c r="D27" s="14" t="s">
        <v>300</v>
      </c>
      <c r="E27" s="44">
        <v>4</v>
      </c>
      <c r="F27" s="14" t="s">
        <v>306</v>
      </c>
      <c r="G27" s="14" t="s">
        <v>307</v>
      </c>
      <c r="H27" s="45">
        <v>6</v>
      </c>
      <c r="I27" s="46" t="s">
        <v>216</v>
      </c>
      <c r="J27" s="45">
        <v>90</v>
      </c>
      <c r="K27" s="47">
        <v>400</v>
      </c>
      <c r="L27" s="47">
        <v>350</v>
      </c>
      <c r="M27" s="48">
        <v>0</v>
      </c>
      <c r="N27" s="49">
        <f t="shared" si="0"/>
        <v>0</v>
      </c>
      <c r="O27" s="50">
        <f t="shared" si="1"/>
        <v>0</v>
      </c>
      <c r="P27" s="50">
        <f>N27*Pressupostos!C8</f>
        <v>0</v>
      </c>
      <c r="Q27" s="14" t="s">
        <v>238</v>
      </c>
    </row>
    <row r="28" spans="2:17" x14ac:dyDescent="0.2">
      <c r="B28" s="43" t="s">
        <v>308</v>
      </c>
      <c r="C28" s="43" t="s">
        <v>309</v>
      </c>
      <c r="D28" s="14" t="s">
        <v>259</v>
      </c>
      <c r="E28" s="44">
        <v>5</v>
      </c>
      <c r="F28" s="14" t="s">
        <v>310</v>
      </c>
      <c r="G28" s="14" t="s">
        <v>311</v>
      </c>
      <c r="H28" s="45">
        <v>4</v>
      </c>
      <c r="I28" s="46" t="s">
        <v>216</v>
      </c>
      <c r="J28" s="45">
        <v>90</v>
      </c>
      <c r="K28" s="47">
        <v>400</v>
      </c>
      <c r="L28" s="47">
        <v>350</v>
      </c>
      <c r="M28" s="48">
        <v>0</v>
      </c>
      <c r="N28" s="49">
        <f t="shared" si="0"/>
        <v>0</v>
      </c>
      <c r="O28" s="50">
        <f t="shared" si="1"/>
        <v>0</v>
      </c>
      <c r="P28" s="50">
        <f>N28*Pressupostos!C8</f>
        <v>0</v>
      </c>
      <c r="Q28" s="14" t="s">
        <v>228</v>
      </c>
    </row>
    <row r="29" spans="2:17" x14ac:dyDescent="0.2">
      <c r="B29" s="43" t="s">
        <v>312</v>
      </c>
      <c r="C29" s="43" t="s">
        <v>313</v>
      </c>
      <c r="D29" s="14" t="s">
        <v>293</v>
      </c>
      <c r="E29" s="44">
        <v>5</v>
      </c>
      <c r="F29" s="14" t="s">
        <v>314</v>
      </c>
      <c r="G29" s="14" t="s">
        <v>315</v>
      </c>
      <c r="H29" s="45">
        <v>2</v>
      </c>
      <c r="I29" s="46" t="s">
        <v>216</v>
      </c>
      <c r="J29" s="45">
        <v>90</v>
      </c>
      <c r="K29" s="47">
        <v>400</v>
      </c>
      <c r="L29" s="47">
        <v>420</v>
      </c>
      <c r="M29" s="48">
        <v>0</v>
      </c>
      <c r="N29" s="49">
        <f t="shared" si="0"/>
        <v>0</v>
      </c>
      <c r="O29" s="50">
        <f t="shared" si="1"/>
        <v>0</v>
      </c>
      <c r="P29" s="50">
        <f>N29*Pressupostos!C8</f>
        <v>0</v>
      </c>
      <c r="Q29" s="14" t="s">
        <v>228</v>
      </c>
    </row>
    <row r="30" spans="2:17" x14ac:dyDescent="0.2">
      <c r="B30" s="43" t="s">
        <v>316</v>
      </c>
      <c r="C30" s="43" t="s">
        <v>317</v>
      </c>
      <c r="D30" s="14" t="s">
        <v>263</v>
      </c>
      <c r="E30" s="44">
        <v>5</v>
      </c>
      <c r="F30" s="14" t="s">
        <v>318</v>
      </c>
      <c r="G30" s="14" t="s">
        <v>220</v>
      </c>
      <c r="H30" s="45">
        <v>2</v>
      </c>
      <c r="I30" s="46" t="s">
        <v>216</v>
      </c>
      <c r="J30" s="45">
        <v>90</v>
      </c>
      <c r="K30" s="47">
        <v>400</v>
      </c>
      <c r="L30" s="47">
        <v>200</v>
      </c>
      <c r="M30" s="48">
        <v>0</v>
      </c>
      <c r="N30" s="49">
        <f t="shared" si="0"/>
        <v>0</v>
      </c>
      <c r="O30" s="50">
        <f t="shared" si="1"/>
        <v>0</v>
      </c>
      <c r="P30" s="50">
        <f>N30*Pressupostos!C8</f>
        <v>0</v>
      </c>
      <c r="Q30" s="14" t="s">
        <v>319</v>
      </c>
    </row>
    <row r="31" spans="2:17" x14ac:dyDescent="0.2">
      <c r="B31" s="43" t="s">
        <v>320</v>
      </c>
      <c r="C31" s="43" t="s">
        <v>321</v>
      </c>
      <c r="D31" s="14" t="s">
        <v>231</v>
      </c>
      <c r="E31" s="44">
        <v>5</v>
      </c>
      <c r="F31" s="14" t="s">
        <v>322</v>
      </c>
      <c r="G31" s="14" t="s">
        <v>323</v>
      </c>
      <c r="H31" s="45">
        <v>5</v>
      </c>
      <c r="I31" s="46" t="s">
        <v>216</v>
      </c>
      <c r="J31" s="45">
        <v>90</v>
      </c>
      <c r="K31" s="47">
        <v>400</v>
      </c>
      <c r="L31" s="47">
        <v>120</v>
      </c>
      <c r="M31" s="51">
        <v>1</v>
      </c>
      <c r="N31" s="49">
        <f t="shared" si="0"/>
        <v>450</v>
      </c>
      <c r="O31" s="50">
        <f t="shared" si="1"/>
        <v>520</v>
      </c>
      <c r="P31" s="50">
        <f>N31*Pressupostos!C8</f>
        <v>3982.3008849557527</v>
      </c>
      <c r="Q31" s="14" t="s">
        <v>324</v>
      </c>
    </row>
    <row r="32" spans="2:17" x14ac:dyDescent="0.2">
      <c r="B32" s="43" t="s">
        <v>325</v>
      </c>
      <c r="C32" s="43" t="s">
        <v>213</v>
      </c>
      <c r="D32" s="14" t="s">
        <v>213</v>
      </c>
      <c r="E32" s="44">
        <v>5</v>
      </c>
      <c r="F32" s="14" t="s">
        <v>326</v>
      </c>
      <c r="G32" s="14" t="s">
        <v>327</v>
      </c>
      <c r="H32" s="45">
        <v>10</v>
      </c>
      <c r="I32" s="46" t="s">
        <v>216</v>
      </c>
      <c r="J32" s="45">
        <v>90</v>
      </c>
      <c r="K32" s="47">
        <v>400</v>
      </c>
      <c r="L32" s="47">
        <v>250</v>
      </c>
      <c r="M32" s="48">
        <v>0</v>
      </c>
      <c r="N32" s="49">
        <f t="shared" si="0"/>
        <v>0</v>
      </c>
      <c r="O32" s="50">
        <f t="shared" si="1"/>
        <v>0</v>
      </c>
      <c r="P32" s="50">
        <f>N32*Pressupostos!C8</f>
        <v>0</v>
      </c>
      <c r="Q32" s="14" t="s">
        <v>221</v>
      </c>
    </row>
    <row r="33" spans="2:17" x14ac:dyDescent="0.2">
      <c r="B33" s="43" t="s">
        <v>328</v>
      </c>
      <c r="C33" s="43" t="s">
        <v>329</v>
      </c>
      <c r="D33" s="14" t="s">
        <v>300</v>
      </c>
      <c r="E33" s="44">
        <v>5</v>
      </c>
      <c r="F33" s="14" t="s">
        <v>330</v>
      </c>
      <c r="G33" s="14" t="s">
        <v>327</v>
      </c>
      <c r="H33" s="45">
        <v>10</v>
      </c>
      <c r="I33" s="46" t="s">
        <v>237</v>
      </c>
      <c r="J33" s="45">
        <v>150</v>
      </c>
      <c r="K33" s="47">
        <v>1000</v>
      </c>
      <c r="L33" s="47">
        <v>350</v>
      </c>
      <c r="M33" s="48">
        <v>0</v>
      </c>
      <c r="N33" s="49">
        <f t="shared" si="0"/>
        <v>0</v>
      </c>
      <c r="O33" s="50">
        <f t="shared" si="1"/>
        <v>0</v>
      </c>
      <c r="P33" s="50">
        <f>N33*Pressupostos!C8</f>
        <v>0</v>
      </c>
      <c r="Q33" s="14" t="s">
        <v>331</v>
      </c>
    </row>
    <row r="34" spans="2:17" x14ac:dyDescent="0.2">
      <c r="B34" s="43" t="s">
        <v>332</v>
      </c>
      <c r="C34" s="43" t="s">
        <v>333</v>
      </c>
      <c r="D34" s="14" t="s">
        <v>333</v>
      </c>
      <c r="E34" s="44">
        <v>5</v>
      </c>
      <c r="F34" s="14" t="s">
        <v>334</v>
      </c>
      <c r="G34" s="14" t="s">
        <v>335</v>
      </c>
      <c r="H34" s="45">
        <v>3</v>
      </c>
      <c r="I34" s="46" t="s">
        <v>216</v>
      </c>
      <c r="J34" s="45">
        <v>90</v>
      </c>
      <c r="K34" s="47">
        <v>400</v>
      </c>
      <c r="L34" s="47">
        <v>250</v>
      </c>
      <c r="M34" s="48">
        <v>0</v>
      </c>
      <c r="N34" s="49">
        <f t="shared" si="0"/>
        <v>0</v>
      </c>
      <c r="O34" s="50">
        <f t="shared" si="1"/>
        <v>0</v>
      </c>
      <c r="P34" s="50">
        <f>N34*Pressupostos!C8</f>
        <v>0</v>
      </c>
      <c r="Q34" s="14" t="s">
        <v>336</v>
      </c>
    </row>
    <row r="35" spans="2:17" x14ac:dyDescent="0.2">
      <c r="B35" s="43" t="s">
        <v>337</v>
      </c>
      <c r="C35" s="43" t="s">
        <v>338</v>
      </c>
      <c r="D35" s="14" t="s">
        <v>244</v>
      </c>
      <c r="E35" s="44">
        <v>5</v>
      </c>
      <c r="F35" s="14" t="s">
        <v>339</v>
      </c>
      <c r="G35" s="14" t="s">
        <v>340</v>
      </c>
      <c r="H35" s="45">
        <v>6</v>
      </c>
      <c r="I35" s="46" t="s">
        <v>216</v>
      </c>
      <c r="J35" s="45">
        <v>90</v>
      </c>
      <c r="K35" s="47">
        <v>400</v>
      </c>
      <c r="L35" s="47">
        <v>400</v>
      </c>
      <c r="M35" s="48">
        <v>0</v>
      </c>
      <c r="N35" s="49">
        <f t="shared" si="0"/>
        <v>0</v>
      </c>
      <c r="O35" s="50">
        <f t="shared" si="1"/>
        <v>0</v>
      </c>
      <c r="P35" s="50">
        <f>N35*Pressupostos!C8</f>
        <v>0</v>
      </c>
      <c r="Q35" s="14" t="s">
        <v>238</v>
      </c>
    </row>
    <row r="36" spans="2:17" x14ac:dyDescent="0.2">
      <c r="B36" s="43" t="s">
        <v>341</v>
      </c>
      <c r="C36" s="43" t="s">
        <v>342</v>
      </c>
      <c r="D36" s="14" t="s">
        <v>256</v>
      </c>
      <c r="E36" s="44">
        <v>5</v>
      </c>
      <c r="F36" s="14" t="s">
        <v>343</v>
      </c>
      <c r="G36" s="14" t="s">
        <v>340</v>
      </c>
      <c r="H36" s="45">
        <v>5</v>
      </c>
      <c r="I36" s="46" t="s">
        <v>216</v>
      </c>
      <c r="J36" s="45">
        <v>90</v>
      </c>
      <c r="K36" s="47">
        <v>400</v>
      </c>
      <c r="L36" s="47">
        <v>150</v>
      </c>
      <c r="M36" s="48">
        <v>0</v>
      </c>
      <c r="N36" s="49">
        <f t="shared" si="0"/>
        <v>0</v>
      </c>
      <c r="O36" s="50">
        <f t="shared" si="1"/>
        <v>0</v>
      </c>
      <c r="P36" s="50">
        <f>N36*Pressupostos!C8</f>
        <v>0</v>
      </c>
      <c r="Q36" s="14" t="s">
        <v>238</v>
      </c>
    </row>
    <row r="37" spans="2:17" x14ac:dyDescent="0.2">
      <c r="B37" s="43" t="s">
        <v>344</v>
      </c>
      <c r="C37" s="43" t="s">
        <v>345</v>
      </c>
      <c r="D37" s="14" t="s">
        <v>345</v>
      </c>
      <c r="E37" s="44">
        <v>5</v>
      </c>
      <c r="F37" s="14" t="s">
        <v>346</v>
      </c>
      <c r="G37" s="14" t="s">
        <v>273</v>
      </c>
      <c r="H37" s="45">
        <v>4</v>
      </c>
      <c r="I37" s="46" t="s">
        <v>227</v>
      </c>
      <c r="J37" s="45">
        <v>50</v>
      </c>
      <c r="K37" s="47">
        <v>150</v>
      </c>
      <c r="L37" s="47">
        <v>400</v>
      </c>
      <c r="M37" s="48">
        <v>0</v>
      </c>
      <c r="N37" s="49">
        <f t="shared" ref="N37:N68" si="2">H37*J37*M37</f>
        <v>0</v>
      </c>
      <c r="O37" s="50">
        <f t="shared" ref="O37:O68" si="3">(K37+L37)*M37</f>
        <v>0</v>
      </c>
      <c r="P37" s="50">
        <f>N37*Pressupostos!C8</f>
        <v>0</v>
      </c>
      <c r="Q37" s="14" t="s">
        <v>228</v>
      </c>
    </row>
    <row r="38" spans="2:17" x14ac:dyDescent="0.2">
      <c r="B38" s="43" t="s">
        <v>347</v>
      </c>
      <c r="C38" s="43" t="s">
        <v>348</v>
      </c>
      <c r="D38" s="14" t="s">
        <v>300</v>
      </c>
      <c r="E38" s="44">
        <v>6</v>
      </c>
      <c r="F38" s="14" t="s">
        <v>349</v>
      </c>
      <c r="G38" s="14" t="s">
        <v>284</v>
      </c>
      <c r="H38" s="45">
        <v>4</v>
      </c>
      <c r="I38" s="46" t="s">
        <v>216</v>
      </c>
      <c r="J38" s="45">
        <v>90</v>
      </c>
      <c r="K38" s="47">
        <v>400</v>
      </c>
      <c r="L38" s="47">
        <v>380</v>
      </c>
      <c r="M38" s="48">
        <v>0</v>
      </c>
      <c r="N38" s="49">
        <f t="shared" si="2"/>
        <v>0</v>
      </c>
      <c r="O38" s="50">
        <f t="shared" si="3"/>
        <v>0</v>
      </c>
      <c r="P38" s="50">
        <f>N38*Pressupostos!C8</f>
        <v>0</v>
      </c>
      <c r="Q38" s="14" t="s">
        <v>350</v>
      </c>
    </row>
    <row r="39" spans="2:17" x14ac:dyDescent="0.2">
      <c r="B39" s="43" t="s">
        <v>351</v>
      </c>
      <c r="C39" s="43" t="s">
        <v>352</v>
      </c>
      <c r="D39" s="14" t="s">
        <v>300</v>
      </c>
      <c r="E39" s="44">
        <v>6</v>
      </c>
      <c r="F39" s="14" t="s">
        <v>353</v>
      </c>
      <c r="G39" s="14" t="s">
        <v>284</v>
      </c>
      <c r="H39" s="45">
        <v>3</v>
      </c>
      <c r="I39" s="46" t="s">
        <v>216</v>
      </c>
      <c r="J39" s="45">
        <v>90</v>
      </c>
      <c r="K39" s="47">
        <v>400</v>
      </c>
      <c r="L39" s="47">
        <v>340</v>
      </c>
      <c r="M39" s="48">
        <v>0</v>
      </c>
      <c r="N39" s="49">
        <f t="shared" si="2"/>
        <v>0</v>
      </c>
      <c r="O39" s="50">
        <f t="shared" si="3"/>
        <v>0</v>
      </c>
      <c r="P39" s="50">
        <f>N39*Pressupostos!C8</f>
        <v>0</v>
      </c>
      <c r="Q39" s="14" t="s">
        <v>228</v>
      </c>
    </row>
    <row r="40" spans="2:17" x14ac:dyDescent="0.2">
      <c r="B40" s="43" t="s">
        <v>354</v>
      </c>
      <c r="C40" s="43" t="s">
        <v>231</v>
      </c>
      <c r="D40" s="14" t="s">
        <v>231</v>
      </c>
      <c r="E40" s="44">
        <v>6</v>
      </c>
      <c r="F40" s="14" t="s">
        <v>355</v>
      </c>
      <c r="G40" s="14" t="s">
        <v>356</v>
      </c>
      <c r="H40" s="45">
        <v>15</v>
      </c>
      <c r="I40" s="46" t="s">
        <v>303</v>
      </c>
      <c r="J40" s="45">
        <v>200</v>
      </c>
      <c r="K40" s="47">
        <v>2500</v>
      </c>
      <c r="L40" s="47">
        <v>100</v>
      </c>
      <c r="M40" s="51">
        <v>1</v>
      </c>
      <c r="N40" s="49">
        <f t="shared" si="2"/>
        <v>3000</v>
      </c>
      <c r="O40" s="50">
        <f t="shared" si="3"/>
        <v>2600</v>
      </c>
      <c r="P40" s="50">
        <f>N40*Pressupostos!C8</f>
        <v>26548.672566371686</v>
      </c>
      <c r="Q40" s="14" t="s">
        <v>357</v>
      </c>
    </row>
    <row r="41" spans="2:17" x14ac:dyDescent="0.2">
      <c r="B41" s="43" t="s">
        <v>358</v>
      </c>
      <c r="C41" s="43" t="s">
        <v>300</v>
      </c>
      <c r="D41" s="14" t="s">
        <v>300</v>
      </c>
      <c r="E41" s="44">
        <v>6</v>
      </c>
      <c r="F41" s="14" t="s">
        <v>359</v>
      </c>
      <c r="G41" s="14" t="s">
        <v>340</v>
      </c>
      <c r="H41" s="45">
        <v>4</v>
      </c>
      <c r="I41" s="46" t="s">
        <v>303</v>
      </c>
      <c r="J41" s="45">
        <v>200</v>
      </c>
      <c r="K41" s="47">
        <v>2500</v>
      </c>
      <c r="L41" s="47">
        <v>350</v>
      </c>
      <c r="M41" s="48">
        <v>0</v>
      </c>
      <c r="N41" s="49">
        <f t="shared" si="2"/>
        <v>0</v>
      </c>
      <c r="O41" s="50">
        <f t="shared" si="3"/>
        <v>0</v>
      </c>
      <c r="P41" s="50">
        <f>N41*Pressupostos!C8</f>
        <v>0</v>
      </c>
      <c r="Q41" s="14" t="s">
        <v>238</v>
      </c>
    </row>
    <row r="42" spans="2:17" x14ac:dyDescent="0.2">
      <c r="B42" s="43" t="s">
        <v>360</v>
      </c>
      <c r="C42" s="43" t="s">
        <v>361</v>
      </c>
      <c r="D42" s="14" t="s">
        <v>345</v>
      </c>
      <c r="E42" s="44">
        <v>6</v>
      </c>
      <c r="F42" s="14" t="s">
        <v>362</v>
      </c>
      <c r="G42" s="14" t="s">
        <v>363</v>
      </c>
      <c r="H42" s="45">
        <v>3</v>
      </c>
      <c r="I42" s="46" t="s">
        <v>216</v>
      </c>
      <c r="J42" s="45">
        <v>90</v>
      </c>
      <c r="K42" s="47">
        <v>400</v>
      </c>
      <c r="L42" s="47">
        <v>300</v>
      </c>
      <c r="M42" s="48">
        <v>0</v>
      </c>
      <c r="N42" s="49">
        <f t="shared" si="2"/>
        <v>0</v>
      </c>
      <c r="O42" s="50">
        <f t="shared" si="3"/>
        <v>0</v>
      </c>
      <c r="P42" s="50">
        <f>N42*Pressupostos!C8</f>
        <v>0</v>
      </c>
      <c r="Q42" s="14" t="s">
        <v>228</v>
      </c>
    </row>
    <row r="43" spans="2:17" x14ac:dyDescent="0.2">
      <c r="B43" s="43" t="s">
        <v>364</v>
      </c>
      <c r="C43" s="43" t="s">
        <v>365</v>
      </c>
      <c r="D43" s="14" t="s">
        <v>333</v>
      </c>
      <c r="E43" s="44">
        <v>6</v>
      </c>
      <c r="F43" s="14" t="s">
        <v>366</v>
      </c>
      <c r="G43" s="14" t="s">
        <v>367</v>
      </c>
      <c r="H43" s="45">
        <v>6</v>
      </c>
      <c r="I43" s="46" t="s">
        <v>216</v>
      </c>
      <c r="J43" s="45">
        <v>90</v>
      </c>
      <c r="K43" s="47">
        <v>400</v>
      </c>
      <c r="L43" s="47">
        <v>400</v>
      </c>
      <c r="M43" s="48">
        <v>0</v>
      </c>
      <c r="N43" s="49">
        <f t="shared" si="2"/>
        <v>0</v>
      </c>
      <c r="O43" s="50">
        <f t="shared" si="3"/>
        <v>0</v>
      </c>
      <c r="P43" s="50">
        <f>N43*Pressupostos!C8</f>
        <v>0</v>
      </c>
      <c r="Q43" s="14" t="s">
        <v>368</v>
      </c>
    </row>
    <row r="44" spans="2:17" x14ac:dyDescent="0.2">
      <c r="B44" s="43" t="s">
        <v>369</v>
      </c>
      <c r="C44" s="43" t="s">
        <v>370</v>
      </c>
      <c r="D44" s="14" t="s">
        <v>333</v>
      </c>
      <c r="E44" s="44">
        <v>6</v>
      </c>
      <c r="F44" s="14" t="s">
        <v>371</v>
      </c>
      <c r="G44" s="14" t="s">
        <v>367</v>
      </c>
      <c r="H44" s="45">
        <v>3</v>
      </c>
      <c r="I44" s="46" t="s">
        <v>227</v>
      </c>
      <c r="J44" s="45">
        <v>50</v>
      </c>
      <c r="K44" s="47">
        <v>150</v>
      </c>
      <c r="L44" s="47">
        <v>380</v>
      </c>
      <c r="M44" s="48">
        <v>0</v>
      </c>
      <c r="N44" s="49">
        <f t="shared" si="2"/>
        <v>0</v>
      </c>
      <c r="O44" s="50">
        <f t="shared" si="3"/>
        <v>0</v>
      </c>
      <c r="P44" s="50">
        <f>N44*Pressupostos!C8</f>
        <v>0</v>
      </c>
      <c r="Q44" s="14" t="s">
        <v>228</v>
      </c>
    </row>
    <row r="45" spans="2:17" x14ac:dyDescent="0.2">
      <c r="B45" s="43" t="s">
        <v>372</v>
      </c>
      <c r="C45" s="43" t="s">
        <v>373</v>
      </c>
      <c r="D45" s="14" t="s">
        <v>373</v>
      </c>
      <c r="E45" s="44">
        <v>6</v>
      </c>
      <c r="F45" s="14" t="s">
        <v>374</v>
      </c>
      <c r="G45" s="14" t="s">
        <v>375</v>
      </c>
      <c r="H45" s="45">
        <v>13</v>
      </c>
      <c r="I45" s="46" t="s">
        <v>216</v>
      </c>
      <c r="J45" s="45">
        <v>90</v>
      </c>
      <c r="K45" s="47">
        <v>400</v>
      </c>
      <c r="L45" s="47">
        <v>250</v>
      </c>
      <c r="M45" s="48">
        <v>0</v>
      </c>
      <c r="N45" s="49">
        <f t="shared" si="2"/>
        <v>0</v>
      </c>
      <c r="O45" s="50">
        <f t="shared" si="3"/>
        <v>0</v>
      </c>
      <c r="P45" s="50">
        <f>N45*Pressupostos!C8</f>
        <v>0</v>
      </c>
      <c r="Q45" s="14" t="s">
        <v>228</v>
      </c>
    </row>
    <row r="46" spans="2:17" x14ac:dyDescent="0.2">
      <c r="B46" s="43" t="s">
        <v>376</v>
      </c>
      <c r="C46" s="43" t="s">
        <v>377</v>
      </c>
      <c r="D46" s="14" t="s">
        <v>268</v>
      </c>
      <c r="E46" s="44">
        <v>6</v>
      </c>
      <c r="F46" s="14" t="s">
        <v>378</v>
      </c>
      <c r="G46" s="14" t="s">
        <v>379</v>
      </c>
      <c r="H46" s="45">
        <v>7</v>
      </c>
      <c r="I46" s="46" t="s">
        <v>227</v>
      </c>
      <c r="J46" s="45">
        <v>50</v>
      </c>
      <c r="K46" s="47">
        <v>150</v>
      </c>
      <c r="L46" s="47">
        <v>260</v>
      </c>
      <c r="M46" s="48">
        <v>0</v>
      </c>
      <c r="N46" s="49">
        <f t="shared" si="2"/>
        <v>0</v>
      </c>
      <c r="O46" s="50">
        <f t="shared" si="3"/>
        <v>0</v>
      </c>
      <c r="P46" s="50">
        <f>N46*Pressupostos!C8</f>
        <v>0</v>
      </c>
      <c r="Q46" s="14" t="s">
        <v>380</v>
      </c>
    </row>
    <row r="47" spans="2:17" x14ac:dyDescent="0.2">
      <c r="B47" s="43" t="s">
        <v>381</v>
      </c>
      <c r="C47" s="43" t="s">
        <v>259</v>
      </c>
      <c r="D47" s="14" t="s">
        <v>259</v>
      </c>
      <c r="E47" s="44">
        <v>6</v>
      </c>
      <c r="F47" s="14" t="s">
        <v>382</v>
      </c>
      <c r="G47" s="14" t="s">
        <v>356</v>
      </c>
      <c r="H47" s="45">
        <v>8</v>
      </c>
      <c r="I47" s="46" t="s">
        <v>237</v>
      </c>
      <c r="J47" s="45">
        <v>150</v>
      </c>
      <c r="K47" s="47">
        <v>1000</v>
      </c>
      <c r="L47" s="47">
        <v>350</v>
      </c>
      <c r="M47" s="48">
        <v>0</v>
      </c>
      <c r="N47" s="49">
        <f t="shared" si="2"/>
        <v>0</v>
      </c>
      <c r="O47" s="50">
        <f t="shared" si="3"/>
        <v>0</v>
      </c>
      <c r="P47" s="50">
        <f>N47*Pressupostos!C8</f>
        <v>0</v>
      </c>
      <c r="Q47" s="14" t="s">
        <v>383</v>
      </c>
    </row>
    <row r="48" spans="2:17" x14ac:dyDescent="0.2">
      <c r="B48" s="43" t="s">
        <v>384</v>
      </c>
      <c r="C48" s="43" t="s">
        <v>300</v>
      </c>
      <c r="D48" s="14" t="s">
        <v>300</v>
      </c>
      <c r="E48" s="44">
        <v>6</v>
      </c>
      <c r="F48" s="14" t="s">
        <v>385</v>
      </c>
      <c r="G48" s="14" t="s">
        <v>356</v>
      </c>
      <c r="H48" s="45">
        <v>3</v>
      </c>
      <c r="I48" s="46" t="s">
        <v>303</v>
      </c>
      <c r="J48" s="45">
        <v>200</v>
      </c>
      <c r="K48" s="47">
        <v>2500</v>
      </c>
      <c r="L48" s="47">
        <v>350</v>
      </c>
      <c r="M48" s="51">
        <v>1</v>
      </c>
      <c r="N48" s="49">
        <f t="shared" si="2"/>
        <v>600</v>
      </c>
      <c r="O48" s="50">
        <f t="shared" si="3"/>
        <v>2850</v>
      </c>
      <c r="P48" s="50">
        <f>N48*Pressupostos!C8</f>
        <v>5309.7345132743367</v>
      </c>
      <c r="Q48" s="14" t="s">
        <v>228</v>
      </c>
    </row>
    <row r="49" spans="2:17" x14ac:dyDescent="0.2">
      <c r="B49" s="43" t="s">
        <v>386</v>
      </c>
      <c r="C49" s="43" t="s">
        <v>387</v>
      </c>
      <c r="D49" s="14" t="s">
        <v>263</v>
      </c>
      <c r="E49" s="44">
        <v>6</v>
      </c>
      <c r="F49" s="14" t="s">
        <v>388</v>
      </c>
      <c r="G49" s="14" t="s">
        <v>389</v>
      </c>
      <c r="H49" s="45">
        <v>5</v>
      </c>
      <c r="I49" s="46" t="s">
        <v>216</v>
      </c>
      <c r="J49" s="45">
        <v>90</v>
      </c>
      <c r="K49" s="47">
        <v>400</v>
      </c>
      <c r="L49" s="47">
        <v>140</v>
      </c>
      <c r="M49" s="51">
        <v>1</v>
      </c>
      <c r="N49" s="49">
        <f t="shared" si="2"/>
        <v>450</v>
      </c>
      <c r="O49" s="50">
        <f t="shared" si="3"/>
        <v>540</v>
      </c>
      <c r="P49" s="50">
        <f>N49*Pressupostos!C8</f>
        <v>3982.3008849557527</v>
      </c>
      <c r="Q49" s="14" t="s">
        <v>238</v>
      </c>
    </row>
    <row r="50" spans="2:17" x14ac:dyDescent="0.2">
      <c r="B50" s="43" t="s">
        <v>390</v>
      </c>
      <c r="C50" s="43" t="s">
        <v>391</v>
      </c>
      <c r="D50" s="14" t="s">
        <v>391</v>
      </c>
      <c r="E50" s="44">
        <v>6</v>
      </c>
      <c r="F50" s="14" t="s">
        <v>392</v>
      </c>
      <c r="G50" s="14" t="s">
        <v>276</v>
      </c>
      <c r="H50" s="45">
        <v>10</v>
      </c>
      <c r="I50" s="46" t="s">
        <v>237</v>
      </c>
      <c r="J50" s="45">
        <v>150</v>
      </c>
      <c r="K50" s="47">
        <v>1000</v>
      </c>
      <c r="L50" s="47">
        <v>120</v>
      </c>
      <c r="M50" s="48">
        <v>0</v>
      </c>
      <c r="N50" s="49">
        <f t="shared" si="2"/>
        <v>0</v>
      </c>
      <c r="O50" s="50">
        <f t="shared" si="3"/>
        <v>0</v>
      </c>
      <c r="P50" s="50">
        <f>N50*Pressupostos!C8</f>
        <v>0</v>
      </c>
      <c r="Q50" s="14" t="s">
        <v>238</v>
      </c>
    </row>
    <row r="51" spans="2:17" x14ac:dyDescent="0.2">
      <c r="B51" s="43" t="s">
        <v>393</v>
      </c>
      <c r="C51" s="43" t="s">
        <v>243</v>
      </c>
      <c r="D51" s="14" t="s">
        <v>244</v>
      </c>
      <c r="E51" s="44">
        <v>6</v>
      </c>
      <c r="F51" s="14" t="s">
        <v>394</v>
      </c>
      <c r="G51" s="14" t="s">
        <v>340</v>
      </c>
      <c r="H51" s="45">
        <v>4</v>
      </c>
      <c r="I51" s="46" t="s">
        <v>237</v>
      </c>
      <c r="J51" s="45">
        <v>150</v>
      </c>
      <c r="K51" s="47">
        <v>1000</v>
      </c>
      <c r="L51" s="47">
        <v>400</v>
      </c>
      <c r="M51" s="48">
        <v>0</v>
      </c>
      <c r="N51" s="49">
        <f t="shared" si="2"/>
        <v>0</v>
      </c>
      <c r="O51" s="50">
        <f t="shared" si="3"/>
        <v>0</v>
      </c>
      <c r="P51" s="50">
        <f>N51*Pressupostos!C8</f>
        <v>0</v>
      </c>
      <c r="Q51" s="14" t="s">
        <v>238</v>
      </c>
    </row>
    <row r="52" spans="2:17" x14ac:dyDescent="0.2">
      <c r="B52" s="43" t="s">
        <v>395</v>
      </c>
      <c r="C52" s="43" t="s">
        <v>231</v>
      </c>
      <c r="D52" s="14" t="s">
        <v>231</v>
      </c>
      <c r="E52" s="44">
        <v>6</v>
      </c>
      <c r="F52" s="14" t="s">
        <v>396</v>
      </c>
      <c r="G52" s="14" t="s">
        <v>340</v>
      </c>
      <c r="H52" s="45">
        <v>4</v>
      </c>
      <c r="I52" s="46" t="s">
        <v>303</v>
      </c>
      <c r="J52" s="45">
        <v>200</v>
      </c>
      <c r="K52" s="47">
        <v>2500</v>
      </c>
      <c r="L52" s="47">
        <v>100</v>
      </c>
      <c r="M52" s="48">
        <v>0</v>
      </c>
      <c r="N52" s="49">
        <f t="shared" si="2"/>
        <v>0</v>
      </c>
      <c r="O52" s="50">
        <f t="shared" si="3"/>
        <v>0</v>
      </c>
      <c r="P52" s="50">
        <f>N52*Pressupostos!C8</f>
        <v>0</v>
      </c>
      <c r="Q52" s="14" t="s">
        <v>238</v>
      </c>
    </row>
    <row r="53" spans="2:17" x14ac:dyDescent="0.2">
      <c r="B53" s="43" t="s">
        <v>397</v>
      </c>
      <c r="C53" s="43" t="s">
        <v>398</v>
      </c>
      <c r="D53" s="14" t="s">
        <v>231</v>
      </c>
      <c r="E53" s="44">
        <v>6</v>
      </c>
      <c r="F53" s="14" t="s">
        <v>388</v>
      </c>
      <c r="G53" s="14" t="s">
        <v>276</v>
      </c>
      <c r="H53" s="45">
        <v>3</v>
      </c>
      <c r="I53" s="46" t="s">
        <v>216</v>
      </c>
      <c r="J53" s="45">
        <v>90</v>
      </c>
      <c r="K53" s="47">
        <v>400</v>
      </c>
      <c r="L53" s="47">
        <v>120</v>
      </c>
      <c r="M53" s="48">
        <v>0</v>
      </c>
      <c r="N53" s="49">
        <f t="shared" si="2"/>
        <v>0</v>
      </c>
      <c r="O53" s="50">
        <f t="shared" si="3"/>
        <v>0</v>
      </c>
      <c r="P53" s="50">
        <f>N53*Pressupostos!C8</f>
        <v>0</v>
      </c>
      <c r="Q53" s="14" t="s">
        <v>238</v>
      </c>
    </row>
    <row r="54" spans="2:17" x14ac:dyDescent="0.2">
      <c r="B54" s="43" t="s">
        <v>399</v>
      </c>
      <c r="C54" s="43" t="s">
        <v>268</v>
      </c>
      <c r="D54" s="14" t="s">
        <v>268</v>
      </c>
      <c r="E54" s="44">
        <v>7</v>
      </c>
      <c r="F54" s="14" t="s">
        <v>400</v>
      </c>
      <c r="G54" s="14" t="s">
        <v>327</v>
      </c>
      <c r="H54" s="45">
        <v>17</v>
      </c>
      <c r="I54" s="46" t="s">
        <v>237</v>
      </c>
      <c r="J54" s="45">
        <v>150</v>
      </c>
      <c r="K54" s="47">
        <v>1000</v>
      </c>
      <c r="L54" s="47">
        <v>250</v>
      </c>
      <c r="M54" s="48">
        <v>0</v>
      </c>
      <c r="N54" s="49">
        <f t="shared" si="2"/>
        <v>0</v>
      </c>
      <c r="O54" s="50">
        <f t="shared" si="3"/>
        <v>0</v>
      </c>
      <c r="P54" s="50">
        <f>N54*Pressupostos!C8</f>
        <v>0</v>
      </c>
      <c r="Q54" s="14" t="s">
        <v>401</v>
      </c>
    </row>
    <row r="55" spans="2:17" x14ac:dyDescent="0.2">
      <c r="B55" s="43" t="s">
        <v>402</v>
      </c>
      <c r="C55" s="43" t="s">
        <v>268</v>
      </c>
      <c r="D55" s="14" t="s">
        <v>268</v>
      </c>
      <c r="E55" s="44">
        <v>7</v>
      </c>
      <c r="F55" s="14" t="s">
        <v>403</v>
      </c>
      <c r="G55" s="14" t="s">
        <v>363</v>
      </c>
      <c r="H55" s="45">
        <v>3</v>
      </c>
      <c r="I55" s="46" t="s">
        <v>216</v>
      </c>
      <c r="J55" s="45">
        <v>90</v>
      </c>
      <c r="K55" s="47">
        <v>400</v>
      </c>
      <c r="L55" s="47">
        <v>250</v>
      </c>
      <c r="M55" s="48">
        <v>0</v>
      </c>
      <c r="N55" s="49">
        <f t="shared" si="2"/>
        <v>0</v>
      </c>
      <c r="O55" s="50">
        <f t="shared" si="3"/>
        <v>0</v>
      </c>
      <c r="P55" s="50">
        <f>N55*Pressupostos!C8</f>
        <v>0</v>
      </c>
      <c r="Q55" s="14" t="s">
        <v>228</v>
      </c>
    </row>
    <row r="56" spans="2:17" x14ac:dyDescent="0.2">
      <c r="B56" s="43" t="s">
        <v>404</v>
      </c>
      <c r="C56" s="43" t="s">
        <v>405</v>
      </c>
      <c r="D56" s="14" t="s">
        <v>406</v>
      </c>
      <c r="E56" s="44">
        <v>7</v>
      </c>
      <c r="F56" s="14" t="s">
        <v>407</v>
      </c>
      <c r="G56" s="14" t="s">
        <v>367</v>
      </c>
      <c r="H56" s="45">
        <v>5</v>
      </c>
      <c r="I56" s="46" t="s">
        <v>216</v>
      </c>
      <c r="J56" s="45">
        <v>90</v>
      </c>
      <c r="K56" s="47">
        <v>400</v>
      </c>
      <c r="L56" s="47">
        <v>450</v>
      </c>
      <c r="M56" s="48">
        <v>0</v>
      </c>
      <c r="N56" s="49">
        <f t="shared" si="2"/>
        <v>0</v>
      </c>
      <c r="O56" s="50">
        <f t="shared" si="3"/>
        <v>0</v>
      </c>
      <c r="P56" s="50">
        <f>N56*Pressupostos!C8</f>
        <v>0</v>
      </c>
      <c r="Q56" s="14" t="s">
        <v>408</v>
      </c>
    </row>
    <row r="57" spans="2:17" x14ac:dyDescent="0.2">
      <c r="B57" s="43" t="s">
        <v>409</v>
      </c>
      <c r="C57" s="43" t="s">
        <v>410</v>
      </c>
      <c r="D57" s="14" t="s">
        <v>231</v>
      </c>
      <c r="E57" s="44">
        <v>7</v>
      </c>
      <c r="F57" s="14" t="s">
        <v>411</v>
      </c>
      <c r="G57" s="14" t="s">
        <v>412</v>
      </c>
      <c r="H57" s="45">
        <v>4</v>
      </c>
      <c r="I57" s="46" t="s">
        <v>237</v>
      </c>
      <c r="J57" s="45">
        <v>150</v>
      </c>
      <c r="K57" s="47">
        <v>1000</v>
      </c>
      <c r="L57" s="47">
        <v>110</v>
      </c>
      <c r="M57" s="51">
        <v>1</v>
      </c>
      <c r="N57" s="49">
        <f t="shared" si="2"/>
        <v>600</v>
      </c>
      <c r="O57" s="50">
        <f t="shared" si="3"/>
        <v>1110</v>
      </c>
      <c r="P57" s="50">
        <f>N57*Pressupostos!C8</f>
        <v>5309.7345132743367</v>
      </c>
      <c r="Q57" s="14" t="s">
        <v>238</v>
      </c>
    </row>
    <row r="58" spans="2:17" x14ac:dyDescent="0.2">
      <c r="B58" s="43" t="s">
        <v>413</v>
      </c>
      <c r="C58" s="43" t="s">
        <v>262</v>
      </c>
      <c r="D58" s="14" t="s">
        <v>263</v>
      </c>
      <c r="E58" s="44">
        <v>7</v>
      </c>
      <c r="F58" s="14" t="s">
        <v>414</v>
      </c>
      <c r="G58" s="14" t="s">
        <v>363</v>
      </c>
      <c r="H58" s="45">
        <v>11</v>
      </c>
      <c r="I58" s="46" t="s">
        <v>237</v>
      </c>
      <c r="J58" s="45">
        <v>150</v>
      </c>
      <c r="K58" s="47">
        <v>1000</v>
      </c>
      <c r="L58" s="47">
        <v>150</v>
      </c>
      <c r="M58" s="48">
        <v>0</v>
      </c>
      <c r="N58" s="49">
        <f t="shared" si="2"/>
        <v>0</v>
      </c>
      <c r="O58" s="50">
        <f t="shared" si="3"/>
        <v>0</v>
      </c>
      <c r="P58" s="50">
        <f>N58*Pressupostos!C8</f>
        <v>0</v>
      </c>
      <c r="Q58" s="14" t="s">
        <v>265</v>
      </c>
    </row>
    <row r="59" spans="2:17" x14ac:dyDescent="0.2">
      <c r="B59" s="43" t="s">
        <v>415</v>
      </c>
      <c r="C59" s="43" t="s">
        <v>416</v>
      </c>
      <c r="D59" s="14" t="s">
        <v>263</v>
      </c>
      <c r="E59" s="44">
        <v>7</v>
      </c>
      <c r="F59" s="14" t="s">
        <v>417</v>
      </c>
      <c r="G59" s="14" t="s">
        <v>418</v>
      </c>
      <c r="H59" s="45">
        <v>6</v>
      </c>
      <c r="I59" s="46" t="s">
        <v>216</v>
      </c>
      <c r="J59" s="45">
        <v>90</v>
      </c>
      <c r="K59" s="47">
        <v>400</v>
      </c>
      <c r="L59" s="47">
        <v>170</v>
      </c>
      <c r="M59" s="48">
        <v>0</v>
      </c>
      <c r="N59" s="49">
        <f t="shared" si="2"/>
        <v>0</v>
      </c>
      <c r="O59" s="50">
        <f t="shared" si="3"/>
        <v>0</v>
      </c>
      <c r="P59" s="50">
        <f>N59*Pressupostos!C8</f>
        <v>0</v>
      </c>
      <c r="Q59" s="14" t="s">
        <v>228</v>
      </c>
    </row>
    <row r="60" spans="2:17" x14ac:dyDescent="0.2">
      <c r="B60" s="43" t="s">
        <v>419</v>
      </c>
      <c r="C60" s="43" t="s">
        <v>398</v>
      </c>
      <c r="D60" s="14" t="s">
        <v>231</v>
      </c>
      <c r="E60" s="44">
        <v>7</v>
      </c>
      <c r="F60" s="14" t="s">
        <v>420</v>
      </c>
      <c r="G60" s="14" t="s">
        <v>363</v>
      </c>
      <c r="H60" s="45">
        <v>4</v>
      </c>
      <c r="I60" s="46" t="s">
        <v>216</v>
      </c>
      <c r="J60" s="45">
        <v>90</v>
      </c>
      <c r="K60" s="47">
        <v>400</v>
      </c>
      <c r="L60" s="47">
        <v>120</v>
      </c>
      <c r="M60" s="48">
        <v>0</v>
      </c>
      <c r="N60" s="49">
        <f t="shared" si="2"/>
        <v>0</v>
      </c>
      <c r="O60" s="50">
        <f t="shared" si="3"/>
        <v>0</v>
      </c>
      <c r="P60" s="50">
        <f>N60*Pressupostos!C8</f>
        <v>0</v>
      </c>
      <c r="Q60" s="14" t="s">
        <v>228</v>
      </c>
    </row>
    <row r="61" spans="2:17" x14ac:dyDescent="0.2">
      <c r="B61" s="43" t="s">
        <v>421</v>
      </c>
      <c r="C61" s="43" t="s">
        <v>422</v>
      </c>
      <c r="D61" s="14" t="s">
        <v>391</v>
      </c>
      <c r="E61" s="44">
        <v>7</v>
      </c>
      <c r="F61" s="14" t="s">
        <v>420</v>
      </c>
      <c r="G61" s="14" t="s">
        <v>363</v>
      </c>
      <c r="H61" s="45">
        <v>4</v>
      </c>
      <c r="I61" s="46" t="s">
        <v>216</v>
      </c>
      <c r="J61" s="45">
        <v>90</v>
      </c>
      <c r="K61" s="47">
        <v>400</v>
      </c>
      <c r="L61" s="47">
        <v>180</v>
      </c>
      <c r="M61" s="48">
        <v>0</v>
      </c>
      <c r="N61" s="49">
        <f t="shared" si="2"/>
        <v>0</v>
      </c>
      <c r="O61" s="50">
        <f t="shared" si="3"/>
        <v>0</v>
      </c>
      <c r="P61" s="50">
        <f>N61*Pressupostos!C8</f>
        <v>0</v>
      </c>
      <c r="Q61" s="14" t="s">
        <v>423</v>
      </c>
    </row>
    <row r="62" spans="2:17" x14ac:dyDescent="0.2">
      <c r="B62" s="43" t="s">
        <v>424</v>
      </c>
      <c r="C62" s="43" t="s">
        <v>422</v>
      </c>
      <c r="D62" s="14" t="s">
        <v>391</v>
      </c>
      <c r="E62" s="44">
        <v>7</v>
      </c>
      <c r="F62" s="14" t="s">
        <v>425</v>
      </c>
      <c r="G62" s="14" t="s">
        <v>264</v>
      </c>
      <c r="H62" s="45">
        <v>10</v>
      </c>
      <c r="I62" s="46" t="s">
        <v>303</v>
      </c>
      <c r="J62" s="45">
        <v>200</v>
      </c>
      <c r="K62" s="47">
        <v>2500</v>
      </c>
      <c r="L62" s="47">
        <v>180</v>
      </c>
      <c r="M62" s="48">
        <v>0</v>
      </c>
      <c r="N62" s="49">
        <f t="shared" si="2"/>
        <v>0</v>
      </c>
      <c r="O62" s="50">
        <f t="shared" si="3"/>
        <v>0</v>
      </c>
      <c r="P62" s="50">
        <f>N62*Pressupostos!C8</f>
        <v>0</v>
      </c>
      <c r="Q62" s="14" t="s">
        <v>423</v>
      </c>
    </row>
    <row r="63" spans="2:17" x14ac:dyDescent="0.2">
      <c r="B63" s="43" t="s">
        <v>426</v>
      </c>
      <c r="C63" s="43" t="s">
        <v>427</v>
      </c>
      <c r="D63" s="14" t="s">
        <v>231</v>
      </c>
      <c r="E63" s="44">
        <v>7</v>
      </c>
      <c r="F63" s="14" t="s">
        <v>428</v>
      </c>
      <c r="G63" s="14" t="s">
        <v>367</v>
      </c>
      <c r="H63" s="45">
        <v>4</v>
      </c>
      <c r="I63" s="46" t="s">
        <v>216</v>
      </c>
      <c r="J63" s="45">
        <v>90</v>
      </c>
      <c r="K63" s="47">
        <v>400</v>
      </c>
      <c r="L63" s="47">
        <v>90</v>
      </c>
      <c r="M63" s="48">
        <v>0</v>
      </c>
      <c r="N63" s="49">
        <f t="shared" si="2"/>
        <v>0</v>
      </c>
      <c r="O63" s="50">
        <f t="shared" si="3"/>
        <v>0</v>
      </c>
      <c r="P63" s="50">
        <f>N63*Pressupostos!C8</f>
        <v>0</v>
      </c>
      <c r="Q63" s="14" t="s">
        <v>228</v>
      </c>
    </row>
    <row r="64" spans="2:17" x14ac:dyDescent="0.2">
      <c r="B64" s="43" t="s">
        <v>429</v>
      </c>
      <c r="C64" s="43" t="s">
        <v>430</v>
      </c>
      <c r="D64" s="14" t="s">
        <v>231</v>
      </c>
      <c r="E64" s="44">
        <v>7</v>
      </c>
      <c r="F64" s="14" t="s">
        <v>431</v>
      </c>
      <c r="G64" s="14" t="s">
        <v>340</v>
      </c>
      <c r="H64" s="45">
        <v>3</v>
      </c>
      <c r="I64" s="46" t="s">
        <v>303</v>
      </c>
      <c r="J64" s="45">
        <v>200</v>
      </c>
      <c r="K64" s="47">
        <v>2500</v>
      </c>
      <c r="L64" s="47">
        <v>100</v>
      </c>
      <c r="M64" s="51">
        <v>1</v>
      </c>
      <c r="N64" s="49">
        <f t="shared" si="2"/>
        <v>600</v>
      </c>
      <c r="O64" s="50">
        <f t="shared" si="3"/>
        <v>2600</v>
      </c>
      <c r="P64" s="50">
        <f>N64*Pressupostos!C8</f>
        <v>5309.7345132743367</v>
      </c>
      <c r="Q64" s="14" t="s">
        <v>238</v>
      </c>
    </row>
    <row r="65" spans="2:17" x14ac:dyDescent="0.2">
      <c r="B65" s="43" t="s">
        <v>432</v>
      </c>
      <c r="C65" s="43" t="s">
        <v>433</v>
      </c>
      <c r="D65" s="14" t="s">
        <v>256</v>
      </c>
      <c r="E65" s="44">
        <v>7</v>
      </c>
      <c r="F65" s="14" t="s">
        <v>428</v>
      </c>
      <c r="G65" s="14" t="s">
        <v>340</v>
      </c>
      <c r="H65" s="45">
        <v>3</v>
      </c>
      <c r="I65" s="46" t="s">
        <v>237</v>
      </c>
      <c r="J65" s="45">
        <v>150</v>
      </c>
      <c r="K65" s="47">
        <v>1000</v>
      </c>
      <c r="L65" s="47">
        <v>200</v>
      </c>
      <c r="M65" s="48">
        <v>0</v>
      </c>
      <c r="N65" s="49">
        <f t="shared" si="2"/>
        <v>0</v>
      </c>
      <c r="O65" s="50">
        <f t="shared" si="3"/>
        <v>0</v>
      </c>
      <c r="P65" s="50">
        <f>N65*Pressupostos!C8</f>
        <v>0</v>
      </c>
      <c r="Q65" s="14" t="s">
        <v>238</v>
      </c>
    </row>
    <row r="66" spans="2:17" x14ac:dyDescent="0.2">
      <c r="B66" s="43" t="s">
        <v>434</v>
      </c>
      <c r="C66" s="43" t="s">
        <v>435</v>
      </c>
      <c r="D66" s="14" t="s">
        <v>244</v>
      </c>
      <c r="E66" s="44">
        <v>7</v>
      </c>
      <c r="F66" s="14" t="s">
        <v>436</v>
      </c>
      <c r="G66" s="14" t="s">
        <v>340</v>
      </c>
      <c r="H66" s="45">
        <v>3</v>
      </c>
      <c r="I66" s="46" t="s">
        <v>303</v>
      </c>
      <c r="J66" s="45">
        <v>200</v>
      </c>
      <c r="K66" s="47">
        <v>2500</v>
      </c>
      <c r="L66" s="47">
        <v>450</v>
      </c>
      <c r="M66" s="48">
        <v>0</v>
      </c>
      <c r="N66" s="49">
        <f t="shared" si="2"/>
        <v>0</v>
      </c>
      <c r="O66" s="50">
        <f t="shared" si="3"/>
        <v>0</v>
      </c>
      <c r="P66" s="50">
        <f>N66*Pressupostos!C8</f>
        <v>0</v>
      </c>
      <c r="Q66" s="14" t="s">
        <v>238</v>
      </c>
    </row>
    <row r="67" spans="2:17" x14ac:dyDescent="0.2">
      <c r="B67" s="43" t="s">
        <v>437</v>
      </c>
      <c r="C67" s="43" t="s">
        <v>267</v>
      </c>
      <c r="D67" s="14" t="s">
        <v>268</v>
      </c>
      <c r="E67" s="44">
        <v>7</v>
      </c>
      <c r="F67" s="14" t="s">
        <v>438</v>
      </c>
      <c r="G67" s="14" t="s">
        <v>340</v>
      </c>
      <c r="H67" s="45">
        <v>4</v>
      </c>
      <c r="I67" s="46" t="s">
        <v>237</v>
      </c>
      <c r="J67" s="45">
        <v>150</v>
      </c>
      <c r="K67" s="47">
        <v>1000</v>
      </c>
      <c r="L67" s="47">
        <v>250</v>
      </c>
      <c r="M67" s="48">
        <v>0</v>
      </c>
      <c r="N67" s="49">
        <f t="shared" si="2"/>
        <v>0</v>
      </c>
      <c r="O67" s="50">
        <f t="shared" si="3"/>
        <v>0</v>
      </c>
      <c r="P67" s="50">
        <f>N67*Pressupostos!C8</f>
        <v>0</v>
      </c>
      <c r="Q67" s="14" t="s">
        <v>238</v>
      </c>
    </row>
    <row r="68" spans="2:17" x14ac:dyDescent="0.2">
      <c r="B68" s="43" t="s">
        <v>439</v>
      </c>
      <c r="C68" s="43" t="s">
        <v>329</v>
      </c>
      <c r="D68" s="14" t="s">
        <v>300</v>
      </c>
      <c r="E68" s="44">
        <v>7</v>
      </c>
      <c r="F68" s="14" t="s">
        <v>428</v>
      </c>
      <c r="G68" s="14" t="s">
        <v>340</v>
      </c>
      <c r="H68" s="45">
        <v>3</v>
      </c>
      <c r="I68" s="46" t="s">
        <v>237</v>
      </c>
      <c r="J68" s="45">
        <v>150</v>
      </c>
      <c r="K68" s="47">
        <v>1000</v>
      </c>
      <c r="L68" s="47">
        <v>350</v>
      </c>
      <c r="M68" s="48">
        <v>0</v>
      </c>
      <c r="N68" s="49">
        <f t="shared" si="2"/>
        <v>0</v>
      </c>
      <c r="O68" s="50">
        <f t="shared" si="3"/>
        <v>0</v>
      </c>
      <c r="P68" s="50">
        <f>N68*Pressupostos!C8</f>
        <v>0</v>
      </c>
      <c r="Q68" s="14" t="s">
        <v>238</v>
      </c>
    </row>
    <row r="69" spans="2:17" x14ac:dyDescent="0.2">
      <c r="B69" s="43" t="s">
        <v>440</v>
      </c>
      <c r="C69" s="43" t="s">
        <v>441</v>
      </c>
      <c r="D69" s="14" t="s">
        <v>231</v>
      </c>
      <c r="E69" s="44">
        <v>7</v>
      </c>
      <c r="F69" s="14" t="s">
        <v>428</v>
      </c>
      <c r="G69" s="14" t="s">
        <v>340</v>
      </c>
      <c r="H69" s="45">
        <v>8</v>
      </c>
      <c r="I69" s="46" t="s">
        <v>216</v>
      </c>
      <c r="J69" s="45">
        <v>90</v>
      </c>
      <c r="K69" s="47">
        <v>400</v>
      </c>
      <c r="L69" s="47">
        <v>120</v>
      </c>
      <c r="M69" s="48">
        <v>0</v>
      </c>
      <c r="N69" s="49">
        <f t="shared" ref="N69:N100" si="4">H69*J69*M69</f>
        <v>0</v>
      </c>
      <c r="O69" s="50">
        <f t="shared" ref="O69:O100" si="5">(K69+L69)*M69</f>
        <v>0</v>
      </c>
      <c r="P69" s="50">
        <f>N69*Pressupostos!C8</f>
        <v>0</v>
      </c>
      <c r="Q69" s="14" t="s">
        <v>238</v>
      </c>
    </row>
    <row r="70" spans="2:17" x14ac:dyDescent="0.2">
      <c r="B70" s="43" t="s">
        <v>442</v>
      </c>
      <c r="C70" s="43" t="s">
        <v>443</v>
      </c>
      <c r="D70" s="14" t="s">
        <v>244</v>
      </c>
      <c r="E70" s="44">
        <v>7</v>
      </c>
      <c r="F70" s="14" t="s">
        <v>444</v>
      </c>
      <c r="G70" s="14" t="s">
        <v>363</v>
      </c>
      <c r="H70" s="45">
        <v>3</v>
      </c>
      <c r="I70" s="46" t="s">
        <v>216</v>
      </c>
      <c r="J70" s="45">
        <v>90</v>
      </c>
      <c r="K70" s="47">
        <v>400</v>
      </c>
      <c r="L70" s="47">
        <v>420</v>
      </c>
      <c r="M70" s="48">
        <v>0</v>
      </c>
      <c r="N70" s="49">
        <f t="shared" si="4"/>
        <v>0</v>
      </c>
      <c r="O70" s="50">
        <f t="shared" si="5"/>
        <v>0</v>
      </c>
      <c r="P70" s="50">
        <f>N70*Pressupostos!C8</f>
        <v>0</v>
      </c>
      <c r="Q70" s="14" t="s">
        <v>281</v>
      </c>
    </row>
    <row r="71" spans="2:17" x14ac:dyDescent="0.2">
      <c r="B71" s="43" t="s">
        <v>445</v>
      </c>
      <c r="C71" s="43" t="s">
        <v>256</v>
      </c>
      <c r="D71" s="14" t="s">
        <v>256</v>
      </c>
      <c r="E71" s="44">
        <v>7</v>
      </c>
      <c r="F71" s="14" t="s">
        <v>446</v>
      </c>
      <c r="G71" s="14" t="s">
        <v>375</v>
      </c>
      <c r="H71" s="45">
        <v>11</v>
      </c>
      <c r="I71" s="46" t="s">
        <v>237</v>
      </c>
      <c r="J71" s="45">
        <v>150</v>
      </c>
      <c r="K71" s="47">
        <v>1000</v>
      </c>
      <c r="L71" s="47">
        <v>200</v>
      </c>
      <c r="M71" s="48">
        <v>0</v>
      </c>
      <c r="N71" s="49">
        <f t="shared" si="4"/>
        <v>0</v>
      </c>
      <c r="O71" s="50">
        <f t="shared" si="5"/>
        <v>0</v>
      </c>
      <c r="P71" s="50">
        <f>N71*Pressupostos!C8</f>
        <v>0</v>
      </c>
      <c r="Q71" s="14" t="s">
        <v>228</v>
      </c>
    </row>
    <row r="72" spans="2:17" x14ac:dyDescent="0.2">
      <c r="B72" s="43" t="s">
        <v>447</v>
      </c>
      <c r="C72" s="43" t="s">
        <v>448</v>
      </c>
      <c r="D72" s="14" t="s">
        <v>268</v>
      </c>
      <c r="E72" s="44">
        <v>8</v>
      </c>
      <c r="F72" s="14" t="s">
        <v>449</v>
      </c>
      <c r="G72" s="14" t="s">
        <v>450</v>
      </c>
      <c r="H72" s="45">
        <v>11</v>
      </c>
      <c r="I72" s="46" t="s">
        <v>237</v>
      </c>
      <c r="J72" s="45">
        <v>150</v>
      </c>
      <c r="K72" s="47">
        <v>1000</v>
      </c>
      <c r="L72" s="47">
        <v>280</v>
      </c>
      <c r="M72" s="48">
        <v>0</v>
      </c>
      <c r="N72" s="49">
        <f t="shared" si="4"/>
        <v>0</v>
      </c>
      <c r="O72" s="50">
        <f t="shared" si="5"/>
        <v>0</v>
      </c>
      <c r="P72" s="50">
        <f>N72*Pressupostos!C8</f>
        <v>0</v>
      </c>
      <c r="Q72" s="14" t="s">
        <v>451</v>
      </c>
    </row>
    <row r="73" spans="2:17" x14ac:dyDescent="0.2">
      <c r="B73" s="43" t="s">
        <v>452</v>
      </c>
      <c r="C73" s="43" t="s">
        <v>453</v>
      </c>
      <c r="D73" s="14" t="s">
        <v>259</v>
      </c>
      <c r="E73" s="44">
        <v>8</v>
      </c>
      <c r="F73" s="14" t="s">
        <v>454</v>
      </c>
      <c r="G73" s="14" t="s">
        <v>455</v>
      </c>
      <c r="H73" s="45">
        <v>4</v>
      </c>
      <c r="I73" s="46" t="s">
        <v>237</v>
      </c>
      <c r="J73" s="45">
        <v>150</v>
      </c>
      <c r="K73" s="47">
        <v>1000</v>
      </c>
      <c r="L73" s="47">
        <v>350</v>
      </c>
      <c r="M73" s="51">
        <v>1</v>
      </c>
      <c r="N73" s="49">
        <f t="shared" si="4"/>
        <v>600</v>
      </c>
      <c r="O73" s="50">
        <f t="shared" si="5"/>
        <v>1350</v>
      </c>
      <c r="P73" s="50">
        <f>N73*Pressupostos!C8</f>
        <v>5309.7345132743367</v>
      </c>
      <c r="Q73" s="14" t="s">
        <v>383</v>
      </c>
    </row>
    <row r="74" spans="2:17" x14ac:dyDescent="0.2">
      <c r="B74" s="43" t="s">
        <v>456</v>
      </c>
      <c r="C74" s="43" t="s">
        <v>457</v>
      </c>
      <c r="D74" s="14" t="s">
        <v>244</v>
      </c>
      <c r="E74" s="44">
        <v>8</v>
      </c>
      <c r="F74" s="14" t="s">
        <v>458</v>
      </c>
      <c r="G74" s="14" t="s">
        <v>363</v>
      </c>
      <c r="H74" s="45">
        <v>9</v>
      </c>
      <c r="I74" s="46" t="s">
        <v>237</v>
      </c>
      <c r="J74" s="45">
        <v>150</v>
      </c>
      <c r="K74" s="47">
        <v>1000</v>
      </c>
      <c r="L74" s="47">
        <v>480</v>
      </c>
      <c r="M74" s="48">
        <v>0</v>
      </c>
      <c r="N74" s="49">
        <f t="shared" si="4"/>
        <v>0</v>
      </c>
      <c r="O74" s="50">
        <f t="shared" si="5"/>
        <v>0</v>
      </c>
      <c r="P74" s="50">
        <f>N74*Pressupostos!C8</f>
        <v>0</v>
      </c>
      <c r="Q74" s="14" t="s">
        <v>281</v>
      </c>
    </row>
    <row r="75" spans="2:17" x14ac:dyDescent="0.2">
      <c r="B75" s="43" t="s">
        <v>459</v>
      </c>
      <c r="C75" s="43" t="s">
        <v>460</v>
      </c>
      <c r="D75" s="14" t="s">
        <v>461</v>
      </c>
      <c r="E75" s="44">
        <v>8</v>
      </c>
      <c r="F75" s="14" t="s">
        <v>462</v>
      </c>
      <c r="G75" s="14" t="s">
        <v>375</v>
      </c>
      <c r="H75" s="45">
        <v>10</v>
      </c>
      <c r="I75" s="46" t="s">
        <v>216</v>
      </c>
      <c r="J75" s="45">
        <v>90</v>
      </c>
      <c r="K75" s="47">
        <v>400</v>
      </c>
      <c r="L75" s="47">
        <v>400</v>
      </c>
      <c r="M75" s="48">
        <v>0</v>
      </c>
      <c r="N75" s="49">
        <f t="shared" si="4"/>
        <v>0</v>
      </c>
      <c r="O75" s="50">
        <f t="shared" si="5"/>
        <v>0</v>
      </c>
      <c r="P75" s="50">
        <f>N75*Pressupostos!C8</f>
        <v>0</v>
      </c>
      <c r="Q75" s="14" t="s">
        <v>463</v>
      </c>
    </row>
    <row r="76" spans="2:17" x14ac:dyDescent="0.2">
      <c r="B76" s="43" t="s">
        <v>464</v>
      </c>
      <c r="C76" s="43" t="s">
        <v>465</v>
      </c>
      <c r="D76" s="14" t="s">
        <v>345</v>
      </c>
      <c r="E76" s="44">
        <v>8</v>
      </c>
      <c r="F76" s="14" t="s">
        <v>466</v>
      </c>
      <c r="G76" s="14" t="s">
        <v>467</v>
      </c>
      <c r="H76" s="45">
        <v>9</v>
      </c>
      <c r="I76" s="46" t="s">
        <v>237</v>
      </c>
      <c r="J76" s="45">
        <v>150</v>
      </c>
      <c r="K76" s="47">
        <v>1000</v>
      </c>
      <c r="L76" s="47">
        <v>400</v>
      </c>
      <c r="M76" s="48">
        <v>0</v>
      </c>
      <c r="N76" s="49">
        <f t="shared" si="4"/>
        <v>0</v>
      </c>
      <c r="O76" s="50">
        <f t="shared" si="5"/>
        <v>0</v>
      </c>
      <c r="P76" s="50">
        <f>N76*Pressupostos!C8</f>
        <v>0</v>
      </c>
      <c r="Q76" s="14" t="s">
        <v>228</v>
      </c>
    </row>
    <row r="77" spans="2:17" x14ac:dyDescent="0.2">
      <c r="B77" s="43" t="s">
        <v>468</v>
      </c>
      <c r="C77" s="43" t="s">
        <v>469</v>
      </c>
      <c r="D77" s="14" t="s">
        <v>256</v>
      </c>
      <c r="E77" s="44">
        <v>8</v>
      </c>
      <c r="F77" s="14" t="s">
        <v>470</v>
      </c>
      <c r="G77" s="14" t="s">
        <v>471</v>
      </c>
      <c r="H77" s="45">
        <v>6</v>
      </c>
      <c r="I77" s="46" t="s">
        <v>216</v>
      </c>
      <c r="J77" s="45">
        <v>90</v>
      </c>
      <c r="K77" s="47">
        <v>400</v>
      </c>
      <c r="L77" s="47">
        <v>150</v>
      </c>
      <c r="M77" s="48">
        <v>0</v>
      </c>
      <c r="N77" s="49">
        <f t="shared" si="4"/>
        <v>0</v>
      </c>
      <c r="O77" s="50">
        <f t="shared" si="5"/>
        <v>0</v>
      </c>
      <c r="P77" s="50">
        <f>N77*Pressupostos!C8</f>
        <v>0</v>
      </c>
      <c r="Q77" s="14" t="s">
        <v>472</v>
      </c>
    </row>
    <row r="78" spans="2:17" x14ac:dyDescent="0.2">
      <c r="B78" s="43" t="s">
        <v>473</v>
      </c>
      <c r="C78" s="43" t="s">
        <v>405</v>
      </c>
      <c r="D78" s="14" t="s">
        <v>406</v>
      </c>
      <c r="E78" s="44">
        <v>8</v>
      </c>
      <c r="F78" s="14" t="s">
        <v>474</v>
      </c>
      <c r="G78" s="14" t="s">
        <v>363</v>
      </c>
      <c r="H78" s="45">
        <v>3</v>
      </c>
      <c r="I78" s="46" t="s">
        <v>216</v>
      </c>
      <c r="J78" s="45">
        <v>90</v>
      </c>
      <c r="K78" s="47">
        <v>400</v>
      </c>
      <c r="L78" s="47">
        <v>450</v>
      </c>
      <c r="M78" s="48">
        <v>0</v>
      </c>
      <c r="N78" s="49">
        <f t="shared" si="4"/>
        <v>0</v>
      </c>
      <c r="O78" s="50">
        <f t="shared" si="5"/>
        <v>0</v>
      </c>
      <c r="P78" s="50">
        <f>N78*Pressupostos!C8</f>
        <v>0</v>
      </c>
      <c r="Q78" s="14" t="s">
        <v>408</v>
      </c>
    </row>
    <row r="79" spans="2:17" x14ac:dyDescent="0.2">
      <c r="B79" s="43" t="s">
        <v>475</v>
      </c>
      <c r="C79" s="43" t="s">
        <v>476</v>
      </c>
      <c r="D79" s="14" t="s">
        <v>476</v>
      </c>
      <c r="E79" s="44">
        <v>8</v>
      </c>
      <c r="F79" s="14" t="s">
        <v>477</v>
      </c>
      <c r="G79" s="14" t="s">
        <v>478</v>
      </c>
      <c r="H79" s="45">
        <v>9</v>
      </c>
      <c r="I79" s="46" t="s">
        <v>303</v>
      </c>
      <c r="J79" s="45">
        <v>200</v>
      </c>
      <c r="K79" s="47">
        <v>2500</v>
      </c>
      <c r="L79" s="47">
        <v>400</v>
      </c>
      <c r="M79" s="51">
        <v>1</v>
      </c>
      <c r="N79" s="49">
        <f t="shared" si="4"/>
        <v>1800</v>
      </c>
      <c r="O79" s="50">
        <f t="shared" si="5"/>
        <v>2900</v>
      </c>
      <c r="P79" s="50">
        <f>N79*Pressupostos!C8</f>
        <v>15929.203539823011</v>
      </c>
      <c r="Q79" s="14" t="s">
        <v>479</v>
      </c>
    </row>
    <row r="80" spans="2:17" x14ac:dyDescent="0.2">
      <c r="B80" s="43" t="s">
        <v>480</v>
      </c>
      <c r="C80" s="43" t="s">
        <v>481</v>
      </c>
      <c r="D80" s="14" t="s">
        <v>476</v>
      </c>
      <c r="E80" s="44">
        <v>8</v>
      </c>
      <c r="F80" s="14" t="s">
        <v>482</v>
      </c>
      <c r="G80" s="14" t="s">
        <v>284</v>
      </c>
      <c r="H80" s="45">
        <v>6</v>
      </c>
      <c r="I80" s="46" t="s">
        <v>216</v>
      </c>
      <c r="J80" s="45">
        <v>90</v>
      </c>
      <c r="K80" s="47">
        <v>400</v>
      </c>
      <c r="L80" s="47">
        <v>420</v>
      </c>
      <c r="M80" s="48">
        <v>0</v>
      </c>
      <c r="N80" s="49">
        <f t="shared" si="4"/>
        <v>0</v>
      </c>
      <c r="O80" s="50">
        <f t="shared" si="5"/>
        <v>0</v>
      </c>
      <c r="P80" s="50">
        <f>N80*Pressupostos!C8</f>
        <v>0</v>
      </c>
      <c r="Q80" s="14" t="s">
        <v>228</v>
      </c>
    </row>
    <row r="81" spans="2:17" x14ac:dyDescent="0.2">
      <c r="B81" s="43" t="s">
        <v>483</v>
      </c>
      <c r="C81" s="43" t="s">
        <v>484</v>
      </c>
      <c r="D81" s="14" t="s">
        <v>259</v>
      </c>
      <c r="E81" s="44">
        <v>8</v>
      </c>
      <c r="F81" s="14" t="s">
        <v>485</v>
      </c>
      <c r="G81" s="14" t="s">
        <v>220</v>
      </c>
      <c r="H81" s="45">
        <v>4</v>
      </c>
      <c r="I81" s="46" t="s">
        <v>216</v>
      </c>
      <c r="J81" s="45">
        <v>90</v>
      </c>
      <c r="K81" s="47">
        <v>400</v>
      </c>
      <c r="L81" s="47">
        <v>380</v>
      </c>
      <c r="M81" s="48">
        <v>0</v>
      </c>
      <c r="N81" s="49">
        <f t="shared" si="4"/>
        <v>0</v>
      </c>
      <c r="O81" s="50">
        <f t="shared" si="5"/>
        <v>0</v>
      </c>
      <c r="P81" s="50">
        <f>N81*Pressupostos!C8</f>
        <v>0</v>
      </c>
      <c r="Q81" s="14" t="s">
        <v>228</v>
      </c>
    </row>
    <row r="82" spans="2:17" x14ac:dyDescent="0.2">
      <c r="B82" s="43" t="s">
        <v>486</v>
      </c>
      <c r="C82" s="43" t="s">
        <v>487</v>
      </c>
      <c r="D82" s="14" t="s">
        <v>476</v>
      </c>
      <c r="E82" s="44">
        <v>8</v>
      </c>
      <c r="F82" s="14" t="s">
        <v>488</v>
      </c>
      <c r="G82" s="14" t="s">
        <v>284</v>
      </c>
      <c r="H82" s="45">
        <v>2</v>
      </c>
      <c r="I82" s="46" t="s">
        <v>216</v>
      </c>
      <c r="J82" s="45">
        <v>90</v>
      </c>
      <c r="K82" s="47">
        <v>400</v>
      </c>
      <c r="L82" s="47">
        <v>440</v>
      </c>
      <c r="M82" s="48">
        <v>0</v>
      </c>
      <c r="N82" s="49">
        <f t="shared" si="4"/>
        <v>0</v>
      </c>
      <c r="O82" s="50">
        <f t="shared" si="5"/>
        <v>0</v>
      </c>
      <c r="P82" s="50">
        <f>N82*Pressupostos!C8</f>
        <v>0</v>
      </c>
      <c r="Q82" s="14" t="s">
        <v>228</v>
      </c>
    </row>
    <row r="83" spans="2:17" x14ac:dyDescent="0.2">
      <c r="B83" s="43" t="s">
        <v>489</v>
      </c>
      <c r="C83" s="43" t="s">
        <v>253</v>
      </c>
      <c r="D83" s="14" t="s">
        <v>253</v>
      </c>
      <c r="E83" s="44">
        <v>8</v>
      </c>
      <c r="F83" s="14" t="s">
        <v>490</v>
      </c>
      <c r="G83" s="14" t="s">
        <v>491</v>
      </c>
      <c r="H83" s="45">
        <v>32</v>
      </c>
      <c r="I83" s="46" t="s">
        <v>303</v>
      </c>
      <c r="J83" s="45">
        <v>200</v>
      </c>
      <c r="K83" s="47">
        <v>2500</v>
      </c>
      <c r="L83" s="47">
        <v>300</v>
      </c>
      <c r="M83" s="48">
        <v>0</v>
      </c>
      <c r="N83" s="49">
        <f t="shared" si="4"/>
        <v>0</v>
      </c>
      <c r="O83" s="50">
        <f t="shared" si="5"/>
        <v>0</v>
      </c>
      <c r="P83" s="50">
        <f>N83*Pressupostos!C8</f>
        <v>0</v>
      </c>
      <c r="Q83" s="14" t="s">
        <v>492</v>
      </c>
    </row>
    <row r="84" spans="2:17" x14ac:dyDescent="0.2">
      <c r="B84" s="43" t="s">
        <v>493</v>
      </c>
      <c r="C84" s="43" t="s">
        <v>494</v>
      </c>
      <c r="D84" s="14" t="s">
        <v>244</v>
      </c>
      <c r="E84" s="44">
        <v>8</v>
      </c>
      <c r="F84" s="14" t="s">
        <v>495</v>
      </c>
      <c r="G84" s="14" t="s">
        <v>276</v>
      </c>
      <c r="H84" s="45">
        <v>10</v>
      </c>
      <c r="I84" s="46" t="s">
        <v>237</v>
      </c>
      <c r="J84" s="45">
        <v>150</v>
      </c>
      <c r="K84" s="47">
        <v>1000</v>
      </c>
      <c r="L84" s="47">
        <v>450</v>
      </c>
      <c r="M84" s="48">
        <v>0</v>
      </c>
      <c r="N84" s="49">
        <f t="shared" si="4"/>
        <v>0</v>
      </c>
      <c r="O84" s="50">
        <f t="shared" si="5"/>
        <v>0</v>
      </c>
      <c r="P84" s="50">
        <f>N84*Pressupostos!C8</f>
        <v>0</v>
      </c>
      <c r="Q84" s="14" t="s">
        <v>238</v>
      </c>
    </row>
    <row r="85" spans="2:17" x14ac:dyDescent="0.2">
      <c r="B85" s="43" t="s">
        <v>496</v>
      </c>
      <c r="C85" s="43" t="s">
        <v>497</v>
      </c>
      <c r="D85" s="14" t="s">
        <v>244</v>
      </c>
      <c r="E85" s="44">
        <v>8</v>
      </c>
      <c r="F85" s="14" t="s">
        <v>498</v>
      </c>
      <c r="G85" s="14" t="s">
        <v>273</v>
      </c>
      <c r="H85" s="45">
        <v>5</v>
      </c>
      <c r="I85" s="46" t="s">
        <v>237</v>
      </c>
      <c r="J85" s="45">
        <v>150</v>
      </c>
      <c r="K85" s="47">
        <v>1000</v>
      </c>
      <c r="L85" s="47">
        <v>450</v>
      </c>
      <c r="M85" s="48">
        <v>0</v>
      </c>
      <c r="N85" s="49">
        <f t="shared" si="4"/>
        <v>0</v>
      </c>
      <c r="O85" s="50">
        <f t="shared" si="5"/>
        <v>0</v>
      </c>
      <c r="P85" s="50">
        <f>N85*Pressupostos!C8</f>
        <v>0</v>
      </c>
      <c r="Q85" s="14" t="s">
        <v>238</v>
      </c>
    </row>
    <row r="86" spans="2:17" x14ac:dyDescent="0.2">
      <c r="B86" s="43" t="s">
        <v>499</v>
      </c>
      <c r="C86" s="43" t="s">
        <v>500</v>
      </c>
      <c r="D86" s="14" t="s">
        <v>333</v>
      </c>
      <c r="E86" s="44">
        <v>8</v>
      </c>
      <c r="F86" s="14" t="s">
        <v>501</v>
      </c>
      <c r="G86" s="14" t="s">
        <v>340</v>
      </c>
      <c r="H86" s="45">
        <v>5</v>
      </c>
      <c r="I86" s="46" t="s">
        <v>303</v>
      </c>
      <c r="J86" s="45">
        <v>200</v>
      </c>
      <c r="K86" s="47">
        <v>2500</v>
      </c>
      <c r="L86" s="47">
        <v>400</v>
      </c>
      <c r="M86" s="48">
        <v>0</v>
      </c>
      <c r="N86" s="49">
        <f t="shared" si="4"/>
        <v>0</v>
      </c>
      <c r="O86" s="50">
        <f t="shared" si="5"/>
        <v>0</v>
      </c>
      <c r="P86" s="50">
        <f>N86*Pressupostos!C8</f>
        <v>0</v>
      </c>
      <c r="Q86" s="14" t="s">
        <v>238</v>
      </c>
    </row>
    <row r="87" spans="2:17" x14ac:dyDescent="0.2">
      <c r="B87" s="43" t="s">
        <v>502</v>
      </c>
      <c r="C87" s="43" t="s">
        <v>503</v>
      </c>
      <c r="D87" s="14" t="s">
        <v>476</v>
      </c>
      <c r="E87" s="44">
        <v>8</v>
      </c>
      <c r="F87" s="14" t="s">
        <v>504</v>
      </c>
      <c r="G87" s="14" t="s">
        <v>340</v>
      </c>
      <c r="H87" s="45">
        <v>4</v>
      </c>
      <c r="I87" s="46" t="s">
        <v>237</v>
      </c>
      <c r="J87" s="45">
        <v>150</v>
      </c>
      <c r="K87" s="47">
        <v>1000</v>
      </c>
      <c r="L87" s="47">
        <v>420</v>
      </c>
      <c r="M87" s="48">
        <v>0</v>
      </c>
      <c r="N87" s="49">
        <f t="shared" si="4"/>
        <v>0</v>
      </c>
      <c r="O87" s="50">
        <f t="shared" si="5"/>
        <v>0</v>
      </c>
      <c r="P87" s="50">
        <f>N87*Pressupostos!C8</f>
        <v>0</v>
      </c>
      <c r="Q87" s="14" t="s">
        <v>238</v>
      </c>
    </row>
    <row r="88" spans="2:17" x14ac:dyDescent="0.2">
      <c r="B88" s="43" t="s">
        <v>505</v>
      </c>
      <c r="C88" s="43" t="s">
        <v>506</v>
      </c>
      <c r="D88" s="14" t="s">
        <v>213</v>
      </c>
      <c r="E88" s="44">
        <v>8</v>
      </c>
      <c r="F88" s="14" t="s">
        <v>507</v>
      </c>
      <c r="G88" s="14" t="s">
        <v>340</v>
      </c>
      <c r="H88" s="45">
        <v>5</v>
      </c>
      <c r="I88" s="46" t="s">
        <v>216</v>
      </c>
      <c r="J88" s="45">
        <v>90</v>
      </c>
      <c r="K88" s="47">
        <v>400</v>
      </c>
      <c r="L88" s="47">
        <v>250</v>
      </c>
      <c r="M88" s="48">
        <v>0</v>
      </c>
      <c r="N88" s="49">
        <f t="shared" si="4"/>
        <v>0</v>
      </c>
      <c r="O88" s="50">
        <f t="shared" si="5"/>
        <v>0</v>
      </c>
      <c r="P88" s="50">
        <f>N88*Pressupostos!C8</f>
        <v>0</v>
      </c>
      <c r="Q88" s="14" t="s">
        <v>238</v>
      </c>
    </row>
    <row r="89" spans="2:17" x14ac:dyDescent="0.2">
      <c r="B89" s="43" t="s">
        <v>508</v>
      </c>
      <c r="C89" s="43" t="s">
        <v>342</v>
      </c>
      <c r="D89" s="14" t="s">
        <v>256</v>
      </c>
      <c r="E89" s="44">
        <v>8</v>
      </c>
      <c r="F89" s="14" t="s">
        <v>509</v>
      </c>
      <c r="G89" s="14" t="s">
        <v>340</v>
      </c>
      <c r="H89" s="45">
        <v>4</v>
      </c>
      <c r="I89" s="46" t="s">
        <v>237</v>
      </c>
      <c r="J89" s="45">
        <v>150</v>
      </c>
      <c r="K89" s="47">
        <v>1000</v>
      </c>
      <c r="L89" s="47">
        <v>150</v>
      </c>
      <c r="M89" s="48">
        <v>0</v>
      </c>
      <c r="N89" s="49">
        <f t="shared" si="4"/>
        <v>0</v>
      </c>
      <c r="O89" s="50">
        <f t="shared" si="5"/>
        <v>0</v>
      </c>
      <c r="P89" s="50">
        <f>N89*Pressupostos!C8</f>
        <v>0</v>
      </c>
      <c r="Q89" s="14" t="s">
        <v>238</v>
      </c>
    </row>
    <row r="90" spans="2:17" x14ac:dyDescent="0.2">
      <c r="B90" s="43" t="s">
        <v>510</v>
      </c>
      <c r="C90" s="43" t="s">
        <v>231</v>
      </c>
      <c r="D90" s="14" t="s">
        <v>231</v>
      </c>
      <c r="E90" s="44">
        <v>8</v>
      </c>
      <c r="F90" s="14" t="s">
        <v>511</v>
      </c>
      <c r="G90" s="14" t="s">
        <v>340</v>
      </c>
      <c r="H90" s="45">
        <v>3</v>
      </c>
      <c r="I90" s="46" t="s">
        <v>237</v>
      </c>
      <c r="J90" s="45">
        <v>150</v>
      </c>
      <c r="K90" s="47">
        <v>1000</v>
      </c>
      <c r="L90" s="47">
        <v>100</v>
      </c>
      <c r="M90" s="48">
        <v>0</v>
      </c>
      <c r="N90" s="49">
        <f t="shared" si="4"/>
        <v>0</v>
      </c>
      <c r="O90" s="50">
        <f t="shared" si="5"/>
        <v>0</v>
      </c>
      <c r="P90" s="50">
        <f>N90*Pressupostos!C8</f>
        <v>0</v>
      </c>
      <c r="Q90" s="14" t="s">
        <v>238</v>
      </c>
    </row>
    <row r="91" spans="2:17" x14ac:dyDescent="0.2">
      <c r="B91" s="43" t="s">
        <v>512</v>
      </c>
      <c r="C91" s="43" t="s">
        <v>212</v>
      </c>
      <c r="D91" s="14" t="s">
        <v>213</v>
      </c>
      <c r="E91" s="44">
        <v>8</v>
      </c>
      <c r="F91" s="14" t="s">
        <v>513</v>
      </c>
      <c r="G91" s="14" t="s">
        <v>514</v>
      </c>
      <c r="H91" s="45">
        <v>11</v>
      </c>
      <c r="I91" s="46" t="s">
        <v>303</v>
      </c>
      <c r="J91" s="45">
        <v>200</v>
      </c>
      <c r="K91" s="47">
        <v>2500</v>
      </c>
      <c r="L91" s="47">
        <v>250</v>
      </c>
      <c r="M91" s="48">
        <v>0</v>
      </c>
      <c r="N91" s="49">
        <f t="shared" si="4"/>
        <v>0</v>
      </c>
      <c r="O91" s="50">
        <f t="shared" si="5"/>
        <v>0</v>
      </c>
      <c r="P91" s="50">
        <f>N91*Pressupostos!C8</f>
        <v>0</v>
      </c>
      <c r="Q91" s="14" t="s">
        <v>228</v>
      </c>
    </row>
    <row r="92" spans="2:17" x14ac:dyDescent="0.2">
      <c r="B92" s="43" t="s">
        <v>515</v>
      </c>
      <c r="C92" s="43" t="s">
        <v>516</v>
      </c>
      <c r="D92" s="14" t="s">
        <v>259</v>
      </c>
      <c r="E92" s="44">
        <v>8</v>
      </c>
      <c r="F92" s="14" t="s">
        <v>517</v>
      </c>
      <c r="G92" s="14" t="s">
        <v>478</v>
      </c>
      <c r="H92" s="45">
        <v>5</v>
      </c>
      <c r="I92" s="46" t="s">
        <v>237</v>
      </c>
      <c r="J92" s="45">
        <v>150</v>
      </c>
      <c r="K92" s="47">
        <v>1000</v>
      </c>
      <c r="L92" s="47">
        <v>400</v>
      </c>
      <c r="M92" s="48">
        <v>0</v>
      </c>
      <c r="N92" s="49">
        <f t="shared" si="4"/>
        <v>0</v>
      </c>
      <c r="O92" s="50">
        <f t="shared" si="5"/>
        <v>0</v>
      </c>
      <c r="P92" s="50">
        <f>N92*Pressupostos!C8</f>
        <v>0</v>
      </c>
      <c r="Q92" s="14" t="s">
        <v>228</v>
      </c>
    </row>
    <row r="93" spans="2:17" x14ac:dyDescent="0.2">
      <c r="B93" s="43" t="s">
        <v>518</v>
      </c>
      <c r="C93" s="43" t="s">
        <v>519</v>
      </c>
      <c r="D93" s="14" t="s">
        <v>263</v>
      </c>
      <c r="E93" s="44">
        <v>8</v>
      </c>
      <c r="F93" s="14" t="s">
        <v>520</v>
      </c>
      <c r="G93" s="14" t="s">
        <v>389</v>
      </c>
      <c r="H93" s="45">
        <v>5</v>
      </c>
      <c r="I93" s="46" t="s">
        <v>216</v>
      </c>
      <c r="J93" s="45">
        <v>90</v>
      </c>
      <c r="K93" s="47">
        <v>400</v>
      </c>
      <c r="L93" s="47">
        <v>130</v>
      </c>
      <c r="M93" s="48">
        <v>0</v>
      </c>
      <c r="N93" s="49">
        <f t="shared" si="4"/>
        <v>0</v>
      </c>
      <c r="O93" s="50">
        <f t="shared" si="5"/>
        <v>0</v>
      </c>
      <c r="P93" s="50">
        <f>N93*Pressupostos!C8</f>
        <v>0</v>
      </c>
      <c r="Q93" s="14" t="s">
        <v>521</v>
      </c>
    </row>
    <row r="94" spans="2:17" x14ac:dyDescent="0.2">
      <c r="B94" s="43" t="s">
        <v>522</v>
      </c>
      <c r="C94" s="43" t="s">
        <v>523</v>
      </c>
      <c r="D94" s="14" t="s">
        <v>300</v>
      </c>
      <c r="E94" s="44">
        <v>8</v>
      </c>
      <c r="F94" s="14" t="s">
        <v>524</v>
      </c>
      <c r="G94" s="14" t="s">
        <v>525</v>
      </c>
      <c r="H94" s="45">
        <v>5</v>
      </c>
      <c r="I94" s="46" t="s">
        <v>237</v>
      </c>
      <c r="J94" s="45">
        <v>150</v>
      </c>
      <c r="K94" s="47">
        <v>1000</v>
      </c>
      <c r="L94" s="47">
        <v>350</v>
      </c>
      <c r="M94" s="48">
        <v>0</v>
      </c>
      <c r="N94" s="49">
        <f t="shared" si="4"/>
        <v>0</v>
      </c>
      <c r="O94" s="50">
        <f t="shared" si="5"/>
        <v>0</v>
      </c>
      <c r="P94" s="50">
        <f>N94*Pressupostos!C8</f>
        <v>0</v>
      </c>
      <c r="Q94" s="14" t="s">
        <v>521</v>
      </c>
    </row>
    <row r="95" spans="2:17" x14ac:dyDescent="0.2">
      <c r="B95" s="43" t="s">
        <v>526</v>
      </c>
      <c r="C95" s="43" t="s">
        <v>527</v>
      </c>
      <c r="D95" s="14" t="s">
        <v>461</v>
      </c>
      <c r="E95" s="44">
        <v>8</v>
      </c>
      <c r="F95" s="14" t="s">
        <v>528</v>
      </c>
      <c r="G95" s="14" t="s">
        <v>529</v>
      </c>
      <c r="H95" s="45">
        <v>10</v>
      </c>
      <c r="I95" s="46" t="s">
        <v>216</v>
      </c>
      <c r="J95" s="45">
        <v>90</v>
      </c>
      <c r="K95" s="47">
        <v>400</v>
      </c>
      <c r="L95" s="47">
        <v>450</v>
      </c>
      <c r="M95" s="48">
        <v>0</v>
      </c>
      <c r="N95" s="49">
        <f t="shared" si="4"/>
        <v>0</v>
      </c>
      <c r="O95" s="50">
        <f t="shared" si="5"/>
        <v>0</v>
      </c>
      <c r="P95" s="50">
        <f>N95*Pressupostos!C8</f>
        <v>0</v>
      </c>
      <c r="Q95" s="14" t="s">
        <v>530</v>
      </c>
    </row>
    <row r="96" spans="2:17" x14ac:dyDescent="0.2">
      <c r="B96" s="43" t="s">
        <v>531</v>
      </c>
      <c r="C96" s="43" t="s">
        <v>532</v>
      </c>
      <c r="D96" s="14" t="s">
        <v>213</v>
      </c>
      <c r="E96" s="44">
        <v>9</v>
      </c>
      <c r="F96" s="14" t="s">
        <v>533</v>
      </c>
      <c r="G96" s="14" t="s">
        <v>284</v>
      </c>
      <c r="H96" s="45">
        <v>5</v>
      </c>
      <c r="I96" s="46" t="s">
        <v>216</v>
      </c>
      <c r="J96" s="45">
        <v>90</v>
      </c>
      <c r="K96" s="47">
        <v>400</v>
      </c>
      <c r="L96" s="47">
        <v>280</v>
      </c>
      <c r="M96" s="48">
        <v>0</v>
      </c>
      <c r="N96" s="49">
        <f t="shared" si="4"/>
        <v>0</v>
      </c>
      <c r="O96" s="50">
        <f t="shared" si="5"/>
        <v>0</v>
      </c>
      <c r="P96" s="50">
        <f>N96*Pressupostos!C8</f>
        <v>0</v>
      </c>
      <c r="Q96" s="14" t="s">
        <v>228</v>
      </c>
    </row>
    <row r="97" spans="2:17" x14ac:dyDescent="0.2">
      <c r="B97" s="43" t="s">
        <v>534</v>
      </c>
      <c r="C97" s="43" t="s">
        <v>293</v>
      </c>
      <c r="D97" s="14" t="s">
        <v>293</v>
      </c>
      <c r="E97" s="44">
        <v>9</v>
      </c>
      <c r="F97" s="14" t="s">
        <v>535</v>
      </c>
      <c r="G97" s="14" t="s">
        <v>273</v>
      </c>
      <c r="H97" s="45">
        <v>4</v>
      </c>
      <c r="I97" s="46" t="s">
        <v>216</v>
      </c>
      <c r="J97" s="45">
        <v>90</v>
      </c>
      <c r="K97" s="47">
        <v>400</v>
      </c>
      <c r="L97" s="47">
        <v>400</v>
      </c>
      <c r="M97" s="48">
        <v>0</v>
      </c>
      <c r="N97" s="49">
        <f t="shared" si="4"/>
        <v>0</v>
      </c>
      <c r="O97" s="50">
        <f t="shared" si="5"/>
        <v>0</v>
      </c>
      <c r="P97" s="50">
        <f>N97*Pressupostos!C8</f>
        <v>0</v>
      </c>
      <c r="Q97" s="14" t="s">
        <v>536</v>
      </c>
    </row>
    <row r="98" spans="2:17" x14ac:dyDescent="0.2">
      <c r="B98" s="43" t="s">
        <v>537</v>
      </c>
      <c r="C98" s="43" t="s">
        <v>538</v>
      </c>
      <c r="D98" s="14" t="s">
        <v>256</v>
      </c>
      <c r="E98" s="44">
        <v>9</v>
      </c>
      <c r="F98" s="14" t="s">
        <v>539</v>
      </c>
      <c r="G98" s="14" t="s">
        <v>540</v>
      </c>
      <c r="H98" s="45">
        <v>6</v>
      </c>
      <c r="I98" s="46" t="s">
        <v>216</v>
      </c>
      <c r="J98" s="45">
        <v>90</v>
      </c>
      <c r="K98" s="47">
        <v>400</v>
      </c>
      <c r="L98" s="47">
        <v>180</v>
      </c>
      <c r="M98" s="48">
        <v>0</v>
      </c>
      <c r="N98" s="49">
        <f t="shared" si="4"/>
        <v>0</v>
      </c>
      <c r="O98" s="50">
        <f t="shared" si="5"/>
        <v>0</v>
      </c>
      <c r="P98" s="50">
        <f>N98*Pressupostos!C8</f>
        <v>0</v>
      </c>
      <c r="Q98" s="14" t="s">
        <v>541</v>
      </c>
    </row>
    <row r="99" spans="2:17" x14ac:dyDescent="0.2">
      <c r="B99" s="43" t="s">
        <v>542</v>
      </c>
      <c r="C99" s="43" t="s">
        <v>543</v>
      </c>
      <c r="D99" s="14" t="s">
        <v>373</v>
      </c>
      <c r="E99" s="44">
        <v>9</v>
      </c>
      <c r="F99" s="14" t="s">
        <v>544</v>
      </c>
      <c r="G99" s="14" t="s">
        <v>284</v>
      </c>
      <c r="H99" s="45">
        <v>6</v>
      </c>
      <c r="I99" s="46" t="s">
        <v>216</v>
      </c>
      <c r="J99" s="45">
        <v>90</v>
      </c>
      <c r="K99" s="47">
        <v>400</v>
      </c>
      <c r="L99" s="47">
        <v>350</v>
      </c>
      <c r="M99" s="48">
        <v>0</v>
      </c>
      <c r="N99" s="49">
        <f t="shared" si="4"/>
        <v>0</v>
      </c>
      <c r="O99" s="50">
        <f t="shared" si="5"/>
        <v>0</v>
      </c>
      <c r="P99" s="50">
        <f>N99*Pressupostos!C8</f>
        <v>0</v>
      </c>
      <c r="Q99" s="14" t="s">
        <v>228</v>
      </c>
    </row>
    <row r="100" spans="2:17" x14ac:dyDescent="0.2">
      <c r="B100" s="43" t="s">
        <v>545</v>
      </c>
      <c r="C100" s="43" t="s">
        <v>546</v>
      </c>
      <c r="D100" s="14" t="s">
        <v>345</v>
      </c>
      <c r="E100" s="44">
        <v>9</v>
      </c>
      <c r="F100" s="14" t="s">
        <v>547</v>
      </c>
      <c r="G100" s="14" t="s">
        <v>311</v>
      </c>
      <c r="H100" s="45">
        <v>10</v>
      </c>
      <c r="I100" s="46" t="s">
        <v>237</v>
      </c>
      <c r="J100" s="45">
        <v>150</v>
      </c>
      <c r="K100" s="47">
        <v>1000</v>
      </c>
      <c r="L100" s="47">
        <v>380</v>
      </c>
      <c r="M100" s="48">
        <v>0</v>
      </c>
      <c r="N100" s="49">
        <f t="shared" si="4"/>
        <v>0</v>
      </c>
      <c r="O100" s="50">
        <f t="shared" si="5"/>
        <v>0</v>
      </c>
      <c r="P100" s="50">
        <f>N100*Pressupostos!C8</f>
        <v>0</v>
      </c>
      <c r="Q100" s="14" t="s">
        <v>548</v>
      </c>
    </row>
    <row r="101" spans="2:17" x14ac:dyDescent="0.2">
      <c r="B101" s="43" t="s">
        <v>549</v>
      </c>
      <c r="C101" s="43" t="s">
        <v>550</v>
      </c>
      <c r="D101" s="14" t="s">
        <v>476</v>
      </c>
      <c r="E101" s="44">
        <v>9</v>
      </c>
      <c r="F101" s="14" t="s">
        <v>551</v>
      </c>
      <c r="G101" s="14" t="s">
        <v>478</v>
      </c>
      <c r="H101" s="45">
        <v>5</v>
      </c>
      <c r="I101" s="46" t="s">
        <v>303</v>
      </c>
      <c r="J101" s="45">
        <v>200</v>
      </c>
      <c r="K101" s="47">
        <v>2500</v>
      </c>
      <c r="L101" s="47">
        <v>400</v>
      </c>
      <c r="M101" s="51">
        <v>1</v>
      </c>
      <c r="N101" s="49">
        <f t="shared" ref="N101:N132" si="6">H101*J101*M101</f>
        <v>1000</v>
      </c>
      <c r="O101" s="50">
        <f t="shared" ref="O101:O116" si="7">(K101+L101)*M101</f>
        <v>2900</v>
      </c>
      <c r="P101" s="50">
        <f>N101*Pressupostos!C8</f>
        <v>8849.557522123896</v>
      </c>
      <c r="Q101" s="14" t="s">
        <v>383</v>
      </c>
    </row>
    <row r="102" spans="2:17" x14ac:dyDescent="0.2">
      <c r="B102" s="43" t="s">
        <v>552</v>
      </c>
      <c r="C102" s="43" t="s">
        <v>553</v>
      </c>
      <c r="D102" s="14" t="s">
        <v>256</v>
      </c>
      <c r="E102" s="44">
        <v>9</v>
      </c>
      <c r="F102" s="14" t="s">
        <v>554</v>
      </c>
      <c r="G102" s="14" t="s">
        <v>340</v>
      </c>
      <c r="H102" s="45">
        <v>3</v>
      </c>
      <c r="I102" s="46" t="s">
        <v>303</v>
      </c>
      <c r="J102" s="45">
        <v>200</v>
      </c>
      <c r="K102" s="47">
        <v>2500</v>
      </c>
      <c r="L102" s="47">
        <v>130</v>
      </c>
      <c r="M102" s="51">
        <v>1</v>
      </c>
      <c r="N102" s="49">
        <f t="shared" si="6"/>
        <v>600</v>
      </c>
      <c r="O102" s="50">
        <f t="shared" si="7"/>
        <v>2630</v>
      </c>
      <c r="P102" s="50">
        <f>N102*Pressupostos!C8</f>
        <v>5309.7345132743367</v>
      </c>
      <c r="Q102" s="14" t="s">
        <v>238</v>
      </c>
    </row>
    <row r="103" spans="2:17" x14ac:dyDescent="0.2">
      <c r="B103" s="43" t="s">
        <v>555</v>
      </c>
      <c r="C103" s="43" t="s">
        <v>556</v>
      </c>
      <c r="D103" s="14" t="s">
        <v>253</v>
      </c>
      <c r="E103" s="44">
        <v>9</v>
      </c>
      <c r="F103" s="14" t="s">
        <v>557</v>
      </c>
      <c r="G103" s="14" t="s">
        <v>478</v>
      </c>
      <c r="H103" s="45">
        <v>10</v>
      </c>
      <c r="I103" s="46" t="s">
        <v>237</v>
      </c>
      <c r="J103" s="45">
        <v>150</v>
      </c>
      <c r="K103" s="47">
        <v>1000</v>
      </c>
      <c r="L103" s="47">
        <v>300</v>
      </c>
      <c r="M103" s="48">
        <v>0</v>
      </c>
      <c r="N103" s="49">
        <f t="shared" si="6"/>
        <v>0</v>
      </c>
      <c r="O103" s="50">
        <f t="shared" si="7"/>
        <v>0</v>
      </c>
      <c r="P103" s="50">
        <f>N103*Pressupostos!C8</f>
        <v>0</v>
      </c>
      <c r="Q103" s="14" t="s">
        <v>228</v>
      </c>
    </row>
    <row r="104" spans="2:17" x14ac:dyDescent="0.2">
      <c r="B104" s="43" t="s">
        <v>558</v>
      </c>
      <c r="C104" s="43" t="s">
        <v>317</v>
      </c>
      <c r="D104" s="14" t="s">
        <v>263</v>
      </c>
      <c r="E104" s="44">
        <v>9</v>
      </c>
      <c r="F104" s="14" t="s">
        <v>559</v>
      </c>
      <c r="G104" s="14" t="s">
        <v>478</v>
      </c>
      <c r="H104" s="45">
        <v>8</v>
      </c>
      <c r="I104" s="46" t="s">
        <v>237</v>
      </c>
      <c r="J104" s="45">
        <v>150</v>
      </c>
      <c r="K104" s="47">
        <v>1000</v>
      </c>
      <c r="L104" s="47">
        <v>200</v>
      </c>
      <c r="M104" s="48">
        <v>0</v>
      </c>
      <c r="N104" s="49">
        <f t="shared" si="6"/>
        <v>0</v>
      </c>
      <c r="O104" s="50">
        <f t="shared" si="7"/>
        <v>0</v>
      </c>
      <c r="P104" s="50">
        <f>N104*Pressupostos!C8</f>
        <v>0</v>
      </c>
      <c r="Q104" s="14" t="s">
        <v>521</v>
      </c>
    </row>
    <row r="105" spans="2:17" x14ac:dyDescent="0.2">
      <c r="B105" s="43" t="s">
        <v>560</v>
      </c>
      <c r="C105" s="43" t="s">
        <v>244</v>
      </c>
      <c r="D105" s="14" t="s">
        <v>244</v>
      </c>
      <c r="E105" s="44">
        <v>9</v>
      </c>
      <c r="F105" s="14" t="s">
        <v>561</v>
      </c>
      <c r="G105" s="14" t="s">
        <v>340</v>
      </c>
      <c r="H105" s="45">
        <v>3</v>
      </c>
      <c r="I105" s="46" t="s">
        <v>237</v>
      </c>
      <c r="J105" s="45">
        <v>150</v>
      </c>
      <c r="K105" s="47">
        <v>1000</v>
      </c>
      <c r="L105" s="47">
        <v>400</v>
      </c>
      <c r="M105" s="48">
        <v>0</v>
      </c>
      <c r="N105" s="49">
        <f t="shared" si="6"/>
        <v>0</v>
      </c>
      <c r="O105" s="50">
        <f t="shared" si="7"/>
        <v>0</v>
      </c>
      <c r="P105" s="50">
        <f>N105*Pressupostos!C8</f>
        <v>0</v>
      </c>
      <c r="Q105" s="14" t="s">
        <v>238</v>
      </c>
    </row>
    <row r="106" spans="2:17" x14ac:dyDescent="0.2">
      <c r="B106" s="43" t="s">
        <v>562</v>
      </c>
      <c r="C106" s="43" t="s">
        <v>563</v>
      </c>
      <c r="D106" s="14" t="s">
        <v>333</v>
      </c>
      <c r="E106" s="44">
        <v>9</v>
      </c>
      <c r="F106" s="14" t="s">
        <v>561</v>
      </c>
      <c r="G106" s="14" t="s">
        <v>276</v>
      </c>
      <c r="H106" s="45">
        <v>4</v>
      </c>
      <c r="I106" s="46" t="s">
        <v>227</v>
      </c>
      <c r="J106" s="45">
        <v>50</v>
      </c>
      <c r="K106" s="47">
        <v>150</v>
      </c>
      <c r="L106" s="47">
        <v>400</v>
      </c>
      <c r="M106" s="48">
        <v>0</v>
      </c>
      <c r="N106" s="49">
        <f t="shared" si="6"/>
        <v>0</v>
      </c>
      <c r="O106" s="50">
        <f t="shared" si="7"/>
        <v>0</v>
      </c>
      <c r="P106" s="50">
        <f>N106*Pressupostos!C8</f>
        <v>0</v>
      </c>
      <c r="Q106" s="14" t="s">
        <v>564</v>
      </c>
    </row>
    <row r="107" spans="2:17" x14ac:dyDescent="0.2">
      <c r="B107" s="43" t="s">
        <v>565</v>
      </c>
      <c r="C107" s="43" t="s">
        <v>410</v>
      </c>
      <c r="D107" s="14" t="s">
        <v>231</v>
      </c>
      <c r="E107" s="44">
        <v>10</v>
      </c>
      <c r="F107" s="14" t="s">
        <v>566</v>
      </c>
      <c r="G107" s="14" t="s">
        <v>412</v>
      </c>
      <c r="H107" s="45">
        <v>4</v>
      </c>
      <c r="I107" s="46" t="s">
        <v>237</v>
      </c>
      <c r="J107" s="45">
        <v>150</v>
      </c>
      <c r="K107" s="47">
        <v>1000</v>
      </c>
      <c r="L107" s="47">
        <v>110</v>
      </c>
      <c r="M107" s="51">
        <v>1</v>
      </c>
      <c r="N107" s="49">
        <f t="shared" si="6"/>
        <v>600</v>
      </c>
      <c r="O107" s="50">
        <f t="shared" si="7"/>
        <v>1110</v>
      </c>
      <c r="P107" s="50">
        <f>N107*Pressupostos!C8</f>
        <v>5309.7345132743367</v>
      </c>
      <c r="Q107" s="14" t="s">
        <v>521</v>
      </c>
    </row>
    <row r="108" spans="2:17" x14ac:dyDescent="0.2">
      <c r="B108" s="43" t="s">
        <v>567</v>
      </c>
      <c r="C108" s="43" t="s">
        <v>568</v>
      </c>
      <c r="D108" s="14" t="s">
        <v>391</v>
      </c>
      <c r="E108" s="44">
        <v>10</v>
      </c>
      <c r="F108" s="14" t="s">
        <v>569</v>
      </c>
      <c r="G108" s="14" t="s">
        <v>220</v>
      </c>
      <c r="H108" s="45">
        <v>3</v>
      </c>
      <c r="I108" s="46" t="s">
        <v>303</v>
      </c>
      <c r="J108" s="45">
        <v>200</v>
      </c>
      <c r="K108" s="47">
        <v>2500</v>
      </c>
      <c r="L108" s="47">
        <v>150</v>
      </c>
      <c r="M108" s="48">
        <v>0</v>
      </c>
      <c r="N108" s="49">
        <f t="shared" si="6"/>
        <v>0</v>
      </c>
      <c r="O108" s="50">
        <f t="shared" si="7"/>
        <v>0</v>
      </c>
      <c r="P108" s="50">
        <f>N108*Pressupostos!C8</f>
        <v>0</v>
      </c>
      <c r="Q108" s="14" t="s">
        <v>521</v>
      </c>
    </row>
    <row r="109" spans="2:17" x14ac:dyDescent="0.2">
      <c r="B109" s="43" t="s">
        <v>570</v>
      </c>
      <c r="C109" s="43" t="s">
        <v>398</v>
      </c>
      <c r="D109" s="14" t="s">
        <v>231</v>
      </c>
      <c r="E109" s="44">
        <v>10</v>
      </c>
      <c r="F109" s="14" t="s">
        <v>571</v>
      </c>
      <c r="G109" s="14" t="s">
        <v>276</v>
      </c>
      <c r="H109" s="45">
        <v>8</v>
      </c>
      <c r="I109" s="46" t="s">
        <v>216</v>
      </c>
      <c r="J109" s="45">
        <v>90</v>
      </c>
      <c r="K109" s="47">
        <v>400</v>
      </c>
      <c r="L109" s="47">
        <v>120</v>
      </c>
      <c r="M109" s="48">
        <v>0</v>
      </c>
      <c r="N109" s="49">
        <f t="shared" si="6"/>
        <v>0</v>
      </c>
      <c r="O109" s="50">
        <f t="shared" si="7"/>
        <v>0</v>
      </c>
      <c r="P109" s="50">
        <f>N109*Pressupostos!C8</f>
        <v>0</v>
      </c>
      <c r="Q109" s="14" t="s">
        <v>521</v>
      </c>
    </row>
    <row r="110" spans="2:17" x14ac:dyDescent="0.2">
      <c r="B110" s="43" t="s">
        <v>572</v>
      </c>
      <c r="C110" s="43" t="s">
        <v>405</v>
      </c>
      <c r="D110" s="14" t="s">
        <v>406</v>
      </c>
      <c r="E110" s="44">
        <v>11</v>
      </c>
      <c r="F110" s="14" t="s">
        <v>573</v>
      </c>
      <c r="G110" s="14" t="s">
        <v>276</v>
      </c>
      <c r="H110" s="45">
        <v>5</v>
      </c>
      <c r="I110" s="46" t="s">
        <v>237</v>
      </c>
      <c r="J110" s="45">
        <v>150</v>
      </c>
      <c r="K110" s="47">
        <v>1000</v>
      </c>
      <c r="L110" s="47">
        <v>450</v>
      </c>
      <c r="M110" s="48">
        <v>0</v>
      </c>
      <c r="N110" s="49">
        <f t="shared" si="6"/>
        <v>0</v>
      </c>
      <c r="O110" s="50">
        <f t="shared" si="7"/>
        <v>0</v>
      </c>
      <c r="P110" s="50">
        <f>N110*Pressupostos!C8</f>
        <v>0</v>
      </c>
      <c r="Q110" s="14" t="s">
        <v>408</v>
      </c>
    </row>
    <row r="111" spans="2:17" x14ac:dyDescent="0.2">
      <c r="B111" s="43" t="s">
        <v>574</v>
      </c>
      <c r="C111" s="43" t="s">
        <v>575</v>
      </c>
      <c r="D111" s="14" t="s">
        <v>391</v>
      </c>
      <c r="E111" s="44">
        <v>11</v>
      </c>
      <c r="F111" s="14" t="s">
        <v>576</v>
      </c>
      <c r="G111" s="14" t="s">
        <v>577</v>
      </c>
      <c r="H111" s="45">
        <v>10</v>
      </c>
      <c r="I111" s="46" t="s">
        <v>237</v>
      </c>
      <c r="J111" s="45">
        <v>150</v>
      </c>
      <c r="K111" s="47">
        <v>1000</v>
      </c>
      <c r="L111" s="47">
        <v>180</v>
      </c>
      <c r="M111" s="51">
        <v>1</v>
      </c>
      <c r="N111" s="49">
        <f t="shared" si="6"/>
        <v>1500</v>
      </c>
      <c r="O111" s="50">
        <f t="shared" si="7"/>
        <v>1180</v>
      </c>
      <c r="P111" s="50">
        <f>N111*Pressupostos!C8</f>
        <v>13274.336283185843</v>
      </c>
      <c r="Q111" s="14" t="s">
        <v>228</v>
      </c>
    </row>
    <row r="112" spans="2:17" x14ac:dyDescent="0.2">
      <c r="B112" s="43" t="s">
        <v>578</v>
      </c>
      <c r="C112" s="43" t="s">
        <v>453</v>
      </c>
      <c r="D112" s="14" t="s">
        <v>259</v>
      </c>
      <c r="E112" s="44">
        <v>12</v>
      </c>
      <c r="F112" s="14" t="s">
        <v>579</v>
      </c>
      <c r="G112" s="14" t="s">
        <v>580</v>
      </c>
      <c r="H112" s="45">
        <v>9</v>
      </c>
      <c r="I112" s="46" t="s">
        <v>216</v>
      </c>
      <c r="J112" s="45">
        <v>90</v>
      </c>
      <c r="K112" s="47">
        <v>400</v>
      </c>
      <c r="L112" s="47">
        <v>350</v>
      </c>
      <c r="M112" s="48">
        <v>0</v>
      </c>
      <c r="N112" s="49">
        <f t="shared" si="6"/>
        <v>0</v>
      </c>
      <c r="O112" s="50">
        <f t="shared" si="7"/>
        <v>0</v>
      </c>
      <c r="P112" s="50">
        <f>N112*Pressupostos!C8</f>
        <v>0</v>
      </c>
      <c r="Q112" s="14" t="s">
        <v>383</v>
      </c>
    </row>
    <row r="113" spans="2:17" x14ac:dyDescent="0.2">
      <c r="B113" s="43" t="s">
        <v>581</v>
      </c>
      <c r="C113" s="43" t="s">
        <v>262</v>
      </c>
      <c r="D113" s="14" t="s">
        <v>263</v>
      </c>
      <c r="E113" s="44">
        <v>12</v>
      </c>
      <c r="F113" s="14" t="s">
        <v>582</v>
      </c>
      <c r="G113" s="14" t="s">
        <v>583</v>
      </c>
      <c r="H113" s="45">
        <v>15</v>
      </c>
      <c r="I113" s="46" t="s">
        <v>237</v>
      </c>
      <c r="J113" s="45">
        <v>150</v>
      </c>
      <c r="K113" s="47">
        <v>1000</v>
      </c>
      <c r="L113" s="47">
        <v>150</v>
      </c>
      <c r="M113" s="51">
        <v>1</v>
      </c>
      <c r="N113" s="49">
        <f t="shared" si="6"/>
        <v>2250</v>
      </c>
      <c r="O113" s="50">
        <f t="shared" si="7"/>
        <v>1150</v>
      </c>
      <c r="P113" s="50">
        <f>N113*Pressupostos!C8</f>
        <v>19911.504424778763</v>
      </c>
      <c r="Q113" s="14" t="s">
        <v>265</v>
      </c>
    </row>
    <row r="114" spans="2:17" x14ac:dyDescent="0.2">
      <c r="B114" s="43" t="s">
        <v>584</v>
      </c>
      <c r="C114" s="43" t="s">
        <v>300</v>
      </c>
      <c r="D114" s="14" t="s">
        <v>300</v>
      </c>
      <c r="E114" s="44">
        <v>12</v>
      </c>
      <c r="F114" s="14" t="s">
        <v>582</v>
      </c>
      <c r="G114" s="14" t="s">
        <v>583</v>
      </c>
      <c r="H114" s="45">
        <v>25</v>
      </c>
      <c r="I114" s="46" t="s">
        <v>237</v>
      </c>
      <c r="J114" s="45">
        <v>150</v>
      </c>
      <c r="K114" s="47">
        <v>1000</v>
      </c>
      <c r="L114" s="47">
        <v>350</v>
      </c>
      <c r="M114" s="48">
        <v>0</v>
      </c>
      <c r="N114" s="49">
        <f t="shared" si="6"/>
        <v>0</v>
      </c>
      <c r="O114" s="50">
        <f t="shared" si="7"/>
        <v>0</v>
      </c>
      <c r="P114" s="50">
        <f>N114*Pressupostos!C8</f>
        <v>0</v>
      </c>
      <c r="Q114" s="14" t="s">
        <v>521</v>
      </c>
    </row>
    <row r="115" spans="2:17" x14ac:dyDescent="0.2">
      <c r="B115" s="43" t="s">
        <v>585</v>
      </c>
      <c r="C115" s="43" t="s">
        <v>212</v>
      </c>
      <c r="D115" s="14" t="s">
        <v>213</v>
      </c>
      <c r="E115" s="44">
        <v>12</v>
      </c>
      <c r="F115" s="14" t="s">
        <v>582</v>
      </c>
      <c r="G115" s="14" t="s">
        <v>583</v>
      </c>
      <c r="H115" s="45">
        <v>25</v>
      </c>
      <c r="I115" s="46" t="s">
        <v>216</v>
      </c>
      <c r="J115" s="45">
        <v>90</v>
      </c>
      <c r="K115" s="47">
        <v>400</v>
      </c>
      <c r="L115" s="47">
        <v>250</v>
      </c>
      <c r="M115" s="48">
        <v>0</v>
      </c>
      <c r="N115" s="49">
        <f t="shared" si="6"/>
        <v>0</v>
      </c>
      <c r="O115" s="50">
        <f t="shared" si="7"/>
        <v>0</v>
      </c>
      <c r="P115" s="50">
        <f>N115*Pressupostos!C8</f>
        <v>0</v>
      </c>
      <c r="Q115" s="14" t="s">
        <v>521</v>
      </c>
    </row>
    <row r="116" spans="2:17" x14ac:dyDescent="0.2">
      <c r="B116" s="43" t="s">
        <v>586</v>
      </c>
      <c r="C116" s="43" t="s">
        <v>231</v>
      </c>
      <c r="D116" s="14" t="s">
        <v>231</v>
      </c>
      <c r="E116" s="44">
        <v>12</v>
      </c>
      <c r="F116" s="14" t="s">
        <v>587</v>
      </c>
      <c r="G116" s="14" t="s">
        <v>588</v>
      </c>
      <c r="H116" s="45">
        <v>1</v>
      </c>
      <c r="I116" s="46" t="s">
        <v>303</v>
      </c>
      <c r="J116" s="45">
        <v>200</v>
      </c>
      <c r="K116" s="47">
        <v>2500</v>
      </c>
      <c r="L116" s="47">
        <v>100</v>
      </c>
      <c r="M116" s="51">
        <v>1</v>
      </c>
      <c r="N116" s="49">
        <f t="shared" si="6"/>
        <v>200</v>
      </c>
      <c r="O116" s="50">
        <f t="shared" si="7"/>
        <v>2600</v>
      </c>
      <c r="P116" s="50">
        <f>N116*Pressupostos!C8</f>
        <v>1769.911504424779</v>
      </c>
      <c r="Q116" s="14" t="s">
        <v>521</v>
      </c>
    </row>
    <row r="118" spans="2:17" x14ac:dyDescent="0.2">
      <c r="B118" s="52" t="s">
        <v>589</v>
      </c>
    </row>
    <row r="119" spans="2:17" x14ac:dyDescent="0.2">
      <c r="B119" s="10" t="s">
        <v>590</v>
      </c>
      <c r="M119" s="39">
        <f>SUM(M5:M116)</f>
        <v>22</v>
      </c>
    </row>
    <row r="120" spans="2:17" x14ac:dyDescent="0.2">
      <c r="B120" s="10" t="s">
        <v>591</v>
      </c>
      <c r="H120" s="39">
        <f>SUMPRODUCT(H5:H116,M5:M116)</f>
        <v>124</v>
      </c>
    </row>
    <row r="121" spans="2:17" x14ac:dyDescent="0.2">
      <c r="B121" s="12" t="s">
        <v>592</v>
      </c>
      <c r="N121" s="53">
        <f>SUM(N5:N116)</f>
        <v>17930</v>
      </c>
    </row>
    <row r="122" spans="2:17" x14ac:dyDescent="0.2">
      <c r="B122" s="12" t="s">
        <v>593</v>
      </c>
      <c r="O122" s="54">
        <f>SUM(O5:O116)</f>
        <v>31480</v>
      </c>
    </row>
    <row r="123" spans="2:17" x14ac:dyDescent="0.2">
      <c r="B123" s="12" t="s">
        <v>594</v>
      </c>
      <c r="P123" s="54">
        <f>SUM(P5:P116)</f>
        <v>158672.56637168146</v>
      </c>
    </row>
    <row r="125" spans="2:17" x14ac:dyDescent="0.2">
      <c r="B125" s="27" t="s">
        <v>595</v>
      </c>
    </row>
    <row r="126" spans="2:17" x14ac:dyDescent="0.2">
      <c r="B126" s="27" t="s">
        <v>596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76"/>
  <sheetViews>
    <sheetView showGridLines="0" zoomScale="200" zoomScaleNormal="100" workbookViewId="0"/>
  </sheetViews>
  <sheetFormatPr baseColWidth="10" defaultColWidth="8.6640625" defaultRowHeight="15" x14ac:dyDescent="0.2"/>
  <cols>
    <col min="1" max="1" width="2.5" customWidth="1"/>
    <col min="2" max="2" width="8" customWidth="1"/>
    <col min="3" max="3" width="16" customWidth="1"/>
    <col min="4" max="6" width="14" customWidth="1"/>
    <col min="7" max="7" width="16" customWidth="1"/>
  </cols>
  <sheetData>
    <row r="1" spans="2:7" ht="17" x14ac:dyDescent="0.2">
      <c r="B1" s="15" t="s">
        <v>597</v>
      </c>
    </row>
    <row r="2" spans="2:7" x14ac:dyDescent="0.2">
      <c r="B2" s="13" t="s">
        <v>598</v>
      </c>
    </row>
    <row r="4" spans="2:7" x14ac:dyDescent="0.2">
      <c r="B4" s="12" t="s">
        <v>599</v>
      </c>
      <c r="C4" s="35">
        <f>Pressupostos!C63</f>
        <v>100560</v>
      </c>
    </row>
    <row r="5" spans="2:7" x14ac:dyDescent="0.2">
      <c r="B5" s="12" t="s">
        <v>600</v>
      </c>
      <c r="C5" s="55">
        <f>Pressupostos!C64</f>
        <v>0.08</v>
      </c>
    </row>
    <row r="6" spans="2:7" x14ac:dyDescent="0.2">
      <c r="B6" s="12" t="s">
        <v>601</v>
      </c>
      <c r="C6" s="56">
        <f>Pressupostos!C66</f>
        <v>2038.9942096428795</v>
      </c>
    </row>
    <row r="8" spans="2:7" x14ac:dyDescent="0.2">
      <c r="B8" s="16" t="s">
        <v>199</v>
      </c>
      <c r="C8" s="17" t="s">
        <v>602</v>
      </c>
      <c r="D8" s="17" t="s">
        <v>603</v>
      </c>
      <c r="E8" s="17" t="s">
        <v>604</v>
      </c>
      <c r="F8" s="17" t="s">
        <v>605</v>
      </c>
      <c r="G8" s="17" t="s">
        <v>606</v>
      </c>
    </row>
    <row r="9" spans="2:7" x14ac:dyDescent="0.2">
      <c r="B9" s="57">
        <v>1</v>
      </c>
      <c r="C9" s="56">
        <f>Pressupostos!C63</f>
        <v>100560</v>
      </c>
      <c r="D9" s="58">
        <f t="shared" ref="D9:D40" si="0">$C$6</f>
        <v>2038.9942096428795</v>
      </c>
      <c r="E9" s="58">
        <f t="shared" ref="E9:E40" si="1">C9*$C$5/12</f>
        <v>670.4</v>
      </c>
      <c r="F9" s="58">
        <f t="shared" ref="F9:F40" si="2">D9-E9</f>
        <v>1368.5942096428794</v>
      </c>
      <c r="G9" s="58">
        <f t="shared" ref="G9:G40" si="3">C9-F9</f>
        <v>99191.405790357123</v>
      </c>
    </row>
    <row r="10" spans="2:7" x14ac:dyDescent="0.2">
      <c r="B10" s="57">
        <v>2</v>
      </c>
      <c r="C10" s="58">
        <f t="shared" ref="C10:C41" si="4">G9</f>
        <v>99191.405790357123</v>
      </c>
      <c r="D10" s="58">
        <f t="shared" si="0"/>
        <v>2038.9942096428795</v>
      </c>
      <c r="E10" s="58">
        <f t="shared" si="1"/>
        <v>661.27603860238082</v>
      </c>
      <c r="F10" s="58">
        <f t="shared" si="2"/>
        <v>1377.7181710404986</v>
      </c>
      <c r="G10" s="58">
        <f t="shared" si="3"/>
        <v>97813.687619316624</v>
      </c>
    </row>
    <row r="11" spans="2:7" x14ac:dyDescent="0.2">
      <c r="B11" s="57">
        <v>3</v>
      </c>
      <c r="C11" s="58">
        <f t="shared" si="4"/>
        <v>97813.687619316624</v>
      </c>
      <c r="D11" s="58">
        <f t="shared" si="0"/>
        <v>2038.9942096428795</v>
      </c>
      <c r="E11" s="58">
        <f t="shared" si="1"/>
        <v>652.09125079544413</v>
      </c>
      <c r="F11" s="58">
        <f t="shared" si="2"/>
        <v>1386.9029588474355</v>
      </c>
      <c r="G11" s="58">
        <f t="shared" si="3"/>
        <v>96426.784660469188</v>
      </c>
    </row>
    <row r="12" spans="2:7" x14ac:dyDescent="0.2">
      <c r="B12" s="57">
        <v>4</v>
      </c>
      <c r="C12" s="58">
        <f t="shared" si="4"/>
        <v>96426.784660469188</v>
      </c>
      <c r="D12" s="58">
        <f t="shared" si="0"/>
        <v>2038.9942096428795</v>
      </c>
      <c r="E12" s="58">
        <f t="shared" si="1"/>
        <v>642.84523106979452</v>
      </c>
      <c r="F12" s="58">
        <f t="shared" si="2"/>
        <v>1396.1489785730851</v>
      </c>
      <c r="G12" s="58">
        <f t="shared" si="3"/>
        <v>95030.635681896107</v>
      </c>
    </row>
    <row r="13" spans="2:7" x14ac:dyDescent="0.2">
      <c r="B13" s="57">
        <v>5</v>
      </c>
      <c r="C13" s="58">
        <f t="shared" si="4"/>
        <v>95030.635681896107</v>
      </c>
      <c r="D13" s="58">
        <f t="shared" si="0"/>
        <v>2038.9942096428795</v>
      </c>
      <c r="E13" s="58">
        <f t="shared" si="1"/>
        <v>633.53757121264073</v>
      </c>
      <c r="F13" s="58">
        <f t="shared" si="2"/>
        <v>1405.4566384302389</v>
      </c>
      <c r="G13" s="58">
        <f t="shared" si="3"/>
        <v>93625.179043465861</v>
      </c>
    </row>
    <row r="14" spans="2:7" x14ac:dyDescent="0.2">
      <c r="B14" s="57">
        <v>6</v>
      </c>
      <c r="C14" s="58">
        <f t="shared" si="4"/>
        <v>93625.179043465861</v>
      </c>
      <c r="D14" s="58">
        <f t="shared" si="0"/>
        <v>2038.9942096428795</v>
      </c>
      <c r="E14" s="58">
        <f t="shared" si="1"/>
        <v>624.16786028977242</v>
      </c>
      <c r="F14" s="58">
        <f t="shared" si="2"/>
        <v>1414.8263493531072</v>
      </c>
      <c r="G14" s="58">
        <f t="shared" si="3"/>
        <v>92210.352694112749</v>
      </c>
    </row>
    <row r="15" spans="2:7" x14ac:dyDescent="0.2">
      <c r="B15" s="57">
        <v>7</v>
      </c>
      <c r="C15" s="58">
        <f t="shared" si="4"/>
        <v>92210.352694112749</v>
      </c>
      <c r="D15" s="58">
        <f t="shared" si="0"/>
        <v>2038.9942096428795</v>
      </c>
      <c r="E15" s="58">
        <f t="shared" si="1"/>
        <v>614.73568462741832</v>
      </c>
      <c r="F15" s="58">
        <f t="shared" si="2"/>
        <v>1424.2585250154611</v>
      </c>
      <c r="G15" s="58">
        <f t="shared" si="3"/>
        <v>90786.094169097283</v>
      </c>
    </row>
    <row r="16" spans="2:7" x14ac:dyDescent="0.2">
      <c r="B16" s="57">
        <v>8</v>
      </c>
      <c r="C16" s="58">
        <f t="shared" si="4"/>
        <v>90786.094169097283</v>
      </c>
      <c r="D16" s="58">
        <f t="shared" si="0"/>
        <v>2038.9942096428795</v>
      </c>
      <c r="E16" s="58">
        <f t="shared" si="1"/>
        <v>605.24062779398184</v>
      </c>
      <c r="F16" s="58">
        <f t="shared" si="2"/>
        <v>1433.7535818488977</v>
      </c>
      <c r="G16" s="58">
        <f t="shared" si="3"/>
        <v>89352.340587248385</v>
      </c>
    </row>
    <row r="17" spans="2:7" x14ac:dyDescent="0.2">
      <c r="B17" s="57">
        <v>9</v>
      </c>
      <c r="C17" s="58">
        <f t="shared" si="4"/>
        <v>89352.340587248385</v>
      </c>
      <c r="D17" s="58">
        <f t="shared" si="0"/>
        <v>2038.9942096428795</v>
      </c>
      <c r="E17" s="58">
        <f t="shared" si="1"/>
        <v>595.68227058165587</v>
      </c>
      <c r="F17" s="58">
        <f t="shared" si="2"/>
        <v>1443.3119390612237</v>
      </c>
      <c r="G17" s="58">
        <f t="shared" si="3"/>
        <v>87909.028648187159</v>
      </c>
    </row>
    <row r="18" spans="2:7" x14ac:dyDescent="0.2">
      <c r="B18" s="57">
        <v>10</v>
      </c>
      <c r="C18" s="58">
        <f t="shared" si="4"/>
        <v>87909.028648187159</v>
      </c>
      <c r="D18" s="58">
        <f t="shared" si="0"/>
        <v>2038.9942096428795</v>
      </c>
      <c r="E18" s="58">
        <f t="shared" si="1"/>
        <v>586.06019098791444</v>
      </c>
      <c r="F18" s="58">
        <f t="shared" si="2"/>
        <v>1452.934018654965</v>
      </c>
      <c r="G18" s="58">
        <f t="shared" si="3"/>
        <v>86456.094629532192</v>
      </c>
    </row>
    <row r="19" spans="2:7" x14ac:dyDescent="0.2">
      <c r="B19" s="57">
        <v>11</v>
      </c>
      <c r="C19" s="58">
        <f t="shared" si="4"/>
        <v>86456.094629532192</v>
      </c>
      <c r="D19" s="58">
        <f t="shared" si="0"/>
        <v>2038.9942096428795</v>
      </c>
      <c r="E19" s="58">
        <f t="shared" si="1"/>
        <v>576.37396419688127</v>
      </c>
      <c r="F19" s="58">
        <f t="shared" si="2"/>
        <v>1462.6202454459981</v>
      </c>
      <c r="G19" s="58">
        <f t="shared" si="3"/>
        <v>84993.474384086192</v>
      </c>
    </row>
    <row r="20" spans="2:7" x14ac:dyDescent="0.2">
      <c r="B20" s="57">
        <v>12</v>
      </c>
      <c r="C20" s="58">
        <f t="shared" si="4"/>
        <v>84993.474384086192</v>
      </c>
      <c r="D20" s="58">
        <f t="shared" si="0"/>
        <v>2038.9942096428795</v>
      </c>
      <c r="E20" s="58">
        <f t="shared" si="1"/>
        <v>566.62316256057466</v>
      </c>
      <c r="F20" s="58">
        <f t="shared" si="2"/>
        <v>1472.3710470823048</v>
      </c>
      <c r="G20" s="58">
        <f t="shared" si="3"/>
        <v>83521.103337003893</v>
      </c>
    </row>
    <row r="21" spans="2:7" x14ac:dyDescent="0.2">
      <c r="B21" s="57">
        <v>13</v>
      </c>
      <c r="C21" s="58">
        <f t="shared" si="4"/>
        <v>83521.103337003893</v>
      </c>
      <c r="D21" s="58">
        <f t="shared" si="0"/>
        <v>2038.9942096428795</v>
      </c>
      <c r="E21" s="58">
        <f t="shared" si="1"/>
        <v>556.80735558002596</v>
      </c>
      <c r="F21" s="58">
        <f t="shared" si="2"/>
        <v>1482.1868540628534</v>
      </c>
      <c r="G21" s="58">
        <f t="shared" si="3"/>
        <v>82038.916482941044</v>
      </c>
    </row>
    <row r="22" spans="2:7" x14ac:dyDescent="0.2">
      <c r="B22" s="57">
        <v>14</v>
      </c>
      <c r="C22" s="58">
        <f t="shared" si="4"/>
        <v>82038.916482941044</v>
      </c>
      <c r="D22" s="58">
        <f t="shared" si="0"/>
        <v>2038.9942096428795</v>
      </c>
      <c r="E22" s="58">
        <f t="shared" si="1"/>
        <v>546.92610988627359</v>
      </c>
      <c r="F22" s="58">
        <f t="shared" si="2"/>
        <v>1492.068099756606</v>
      </c>
      <c r="G22" s="58">
        <f t="shared" si="3"/>
        <v>80546.848383184435</v>
      </c>
    </row>
    <row r="23" spans="2:7" x14ac:dyDescent="0.2">
      <c r="B23" s="57">
        <v>15</v>
      </c>
      <c r="C23" s="58">
        <f t="shared" si="4"/>
        <v>80546.848383184435</v>
      </c>
      <c r="D23" s="58">
        <f t="shared" si="0"/>
        <v>2038.9942096428795</v>
      </c>
      <c r="E23" s="58">
        <f t="shared" si="1"/>
        <v>536.97898922122965</v>
      </c>
      <c r="F23" s="58">
        <f t="shared" si="2"/>
        <v>1502.0152204216497</v>
      </c>
      <c r="G23" s="58">
        <f t="shared" si="3"/>
        <v>79044.833162762792</v>
      </c>
    </row>
    <row r="24" spans="2:7" x14ac:dyDescent="0.2">
      <c r="B24" s="57">
        <v>16</v>
      </c>
      <c r="C24" s="58">
        <f t="shared" si="4"/>
        <v>79044.833162762792</v>
      </c>
      <c r="D24" s="58">
        <f t="shared" si="0"/>
        <v>2038.9942096428795</v>
      </c>
      <c r="E24" s="58">
        <f t="shared" si="1"/>
        <v>526.96555441841861</v>
      </c>
      <c r="F24" s="58">
        <f t="shared" si="2"/>
        <v>1512.0286552244609</v>
      </c>
      <c r="G24" s="58">
        <f t="shared" si="3"/>
        <v>77532.804507538327</v>
      </c>
    </row>
    <row r="25" spans="2:7" x14ac:dyDescent="0.2">
      <c r="B25" s="57">
        <v>17</v>
      </c>
      <c r="C25" s="58">
        <f t="shared" si="4"/>
        <v>77532.804507538327</v>
      </c>
      <c r="D25" s="58">
        <f t="shared" si="0"/>
        <v>2038.9942096428795</v>
      </c>
      <c r="E25" s="58">
        <f t="shared" si="1"/>
        <v>516.88536338358892</v>
      </c>
      <c r="F25" s="58">
        <f t="shared" si="2"/>
        <v>1522.1088462592907</v>
      </c>
      <c r="G25" s="58">
        <f t="shared" si="3"/>
        <v>76010.695661279038</v>
      </c>
    </row>
    <row r="26" spans="2:7" x14ac:dyDescent="0.2">
      <c r="B26" s="57">
        <v>18</v>
      </c>
      <c r="C26" s="58">
        <f t="shared" si="4"/>
        <v>76010.695661279038</v>
      </c>
      <c r="D26" s="58">
        <f t="shared" si="0"/>
        <v>2038.9942096428795</v>
      </c>
      <c r="E26" s="58">
        <f t="shared" si="1"/>
        <v>506.73797107519363</v>
      </c>
      <c r="F26" s="58">
        <f t="shared" si="2"/>
        <v>1532.2562385676858</v>
      </c>
      <c r="G26" s="58">
        <f t="shared" si="3"/>
        <v>74478.439422711352</v>
      </c>
    </row>
    <row r="27" spans="2:7" x14ac:dyDescent="0.2">
      <c r="B27" s="57">
        <v>19</v>
      </c>
      <c r="C27" s="58">
        <f t="shared" si="4"/>
        <v>74478.439422711352</v>
      </c>
      <c r="D27" s="58">
        <f t="shared" si="0"/>
        <v>2038.9942096428795</v>
      </c>
      <c r="E27" s="58">
        <f t="shared" si="1"/>
        <v>496.52292948474241</v>
      </c>
      <c r="F27" s="58">
        <f t="shared" si="2"/>
        <v>1542.471280158137</v>
      </c>
      <c r="G27" s="58">
        <f t="shared" si="3"/>
        <v>72935.968142553218</v>
      </c>
    </row>
    <row r="28" spans="2:7" x14ac:dyDescent="0.2">
      <c r="B28" s="57">
        <v>20</v>
      </c>
      <c r="C28" s="58">
        <f t="shared" si="4"/>
        <v>72935.968142553218</v>
      </c>
      <c r="D28" s="58">
        <f t="shared" si="0"/>
        <v>2038.9942096428795</v>
      </c>
      <c r="E28" s="58">
        <f t="shared" si="1"/>
        <v>486.23978761702148</v>
      </c>
      <c r="F28" s="58">
        <f t="shared" si="2"/>
        <v>1552.754422025858</v>
      </c>
      <c r="G28" s="58">
        <f t="shared" si="3"/>
        <v>71383.213720527361</v>
      </c>
    </row>
    <row r="29" spans="2:7" x14ac:dyDescent="0.2">
      <c r="B29" s="57">
        <v>21</v>
      </c>
      <c r="C29" s="58">
        <f t="shared" si="4"/>
        <v>71383.213720527361</v>
      </c>
      <c r="D29" s="58">
        <f t="shared" si="0"/>
        <v>2038.9942096428795</v>
      </c>
      <c r="E29" s="58">
        <f t="shared" si="1"/>
        <v>475.88809147018242</v>
      </c>
      <c r="F29" s="58">
        <f t="shared" si="2"/>
        <v>1563.1061181726971</v>
      </c>
      <c r="G29" s="58">
        <f t="shared" si="3"/>
        <v>69820.107602354663</v>
      </c>
    </row>
    <row r="30" spans="2:7" x14ac:dyDescent="0.2">
      <c r="B30" s="57">
        <v>22</v>
      </c>
      <c r="C30" s="58">
        <f t="shared" si="4"/>
        <v>69820.107602354663</v>
      </c>
      <c r="D30" s="58">
        <f t="shared" si="0"/>
        <v>2038.9942096428795</v>
      </c>
      <c r="E30" s="58">
        <f t="shared" si="1"/>
        <v>465.46738401569775</v>
      </c>
      <c r="F30" s="58">
        <f t="shared" si="2"/>
        <v>1573.5268256271818</v>
      </c>
      <c r="G30" s="58">
        <f t="shared" si="3"/>
        <v>68246.580776727482</v>
      </c>
    </row>
    <row r="31" spans="2:7" x14ac:dyDescent="0.2">
      <c r="B31" s="57">
        <v>23</v>
      </c>
      <c r="C31" s="58">
        <f t="shared" si="4"/>
        <v>68246.580776727482</v>
      </c>
      <c r="D31" s="58">
        <f t="shared" si="0"/>
        <v>2038.9942096428795</v>
      </c>
      <c r="E31" s="58">
        <f t="shared" si="1"/>
        <v>454.97720517818317</v>
      </c>
      <c r="F31" s="58">
        <f t="shared" si="2"/>
        <v>1584.0170044646964</v>
      </c>
      <c r="G31" s="58">
        <f t="shared" si="3"/>
        <v>66662.563772262787</v>
      </c>
    </row>
    <row r="32" spans="2:7" x14ac:dyDescent="0.2">
      <c r="B32" s="57">
        <v>24</v>
      </c>
      <c r="C32" s="58">
        <f t="shared" si="4"/>
        <v>66662.563772262787</v>
      </c>
      <c r="D32" s="58">
        <f t="shared" si="0"/>
        <v>2038.9942096428795</v>
      </c>
      <c r="E32" s="58">
        <f t="shared" si="1"/>
        <v>444.41709181508526</v>
      </c>
      <c r="F32" s="58">
        <f t="shared" si="2"/>
        <v>1594.5771178277942</v>
      </c>
      <c r="G32" s="58">
        <f t="shared" si="3"/>
        <v>65067.986654434993</v>
      </c>
    </row>
    <row r="33" spans="2:7" x14ac:dyDescent="0.2">
      <c r="B33" s="57">
        <v>25</v>
      </c>
      <c r="C33" s="58">
        <f t="shared" si="4"/>
        <v>65067.986654434993</v>
      </c>
      <c r="D33" s="58">
        <f t="shared" si="0"/>
        <v>2038.9942096428795</v>
      </c>
      <c r="E33" s="58">
        <f t="shared" si="1"/>
        <v>433.78657769623328</v>
      </c>
      <c r="F33" s="58">
        <f t="shared" si="2"/>
        <v>1605.2076319466462</v>
      </c>
      <c r="G33" s="58">
        <f t="shared" si="3"/>
        <v>63462.77902248835</v>
      </c>
    </row>
    <row r="34" spans="2:7" x14ac:dyDescent="0.2">
      <c r="B34" s="57">
        <v>26</v>
      </c>
      <c r="C34" s="58">
        <f t="shared" si="4"/>
        <v>63462.77902248835</v>
      </c>
      <c r="D34" s="58">
        <f t="shared" si="0"/>
        <v>2038.9942096428795</v>
      </c>
      <c r="E34" s="58">
        <f t="shared" si="1"/>
        <v>423.08519348325564</v>
      </c>
      <c r="F34" s="58">
        <f t="shared" si="2"/>
        <v>1615.9090161596239</v>
      </c>
      <c r="G34" s="58">
        <f t="shared" si="3"/>
        <v>61846.870006328725</v>
      </c>
    </row>
    <row r="35" spans="2:7" x14ac:dyDescent="0.2">
      <c r="B35" s="57">
        <v>27</v>
      </c>
      <c r="C35" s="58">
        <f t="shared" si="4"/>
        <v>61846.870006328725</v>
      </c>
      <c r="D35" s="58">
        <f t="shared" si="0"/>
        <v>2038.9942096428795</v>
      </c>
      <c r="E35" s="58">
        <f t="shared" si="1"/>
        <v>412.31246670885821</v>
      </c>
      <c r="F35" s="58">
        <f t="shared" si="2"/>
        <v>1626.6817429340213</v>
      </c>
      <c r="G35" s="58">
        <f t="shared" si="3"/>
        <v>60220.188263394703</v>
      </c>
    </row>
    <row r="36" spans="2:7" x14ac:dyDescent="0.2">
      <c r="B36" s="57">
        <v>28</v>
      </c>
      <c r="C36" s="58">
        <f t="shared" si="4"/>
        <v>60220.188263394703</v>
      </c>
      <c r="D36" s="58">
        <f t="shared" si="0"/>
        <v>2038.9942096428795</v>
      </c>
      <c r="E36" s="58">
        <f t="shared" si="1"/>
        <v>401.46792175596471</v>
      </c>
      <c r="F36" s="58">
        <f t="shared" si="2"/>
        <v>1637.5262878869148</v>
      </c>
      <c r="G36" s="58">
        <f t="shared" si="3"/>
        <v>58582.661975507785</v>
      </c>
    </row>
    <row r="37" spans="2:7" x14ac:dyDescent="0.2">
      <c r="B37" s="57">
        <v>29</v>
      </c>
      <c r="C37" s="58">
        <f t="shared" si="4"/>
        <v>58582.661975507785</v>
      </c>
      <c r="D37" s="58">
        <f t="shared" si="0"/>
        <v>2038.9942096428795</v>
      </c>
      <c r="E37" s="58">
        <f t="shared" si="1"/>
        <v>390.5510798367186</v>
      </c>
      <c r="F37" s="58">
        <f t="shared" si="2"/>
        <v>1648.4431298061609</v>
      </c>
      <c r="G37" s="58">
        <f t="shared" si="3"/>
        <v>56934.218845701624</v>
      </c>
    </row>
    <row r="38" spans="2:7" x14ac:dyDescent="0.2">
      <c r="B38" s="57">
        <v>30</v>
      </c>
      <c r="C38" s="58">
        <f t="shared" si="4"/>
        <v>56934.218845701624</v>
      </c>
      <c r="D38" s="58">
        <f t="shared" si="0"/>
        <v>2038.9942096428795</v>
      </c>
      <c r="E38" s="58">
        <f t="shared" si="1"/>
        <v>379.56145897134417</v>
      </c>
      <c r="F38" s="58">
        <f t="shared" si="2"/>
        <v>1659.4327506715354</v>
      </c>
      <c r="G38" s="58">
        <f t="shared" si="3"/>
        <v>55274.786095030089</v>
      </c>
    </row>
    <row r="39" spans="2:7" x14ac:dyDescent="0.2">
      <c r="B39" s="57">
        <v>31</v>
      </c>
      <c r="C39" s="58">
        <f t="shared" si="4"/>
        <v>55274.786095030089</v>
      </c>
      <c r="D39" s="58">
        <f t="shared" si="0"/>
        <v>2038.9942096428795</v>
      </c>
      <c r="E39" s="58">
        <f t="shared" si="1"/>
        <v>368.4985739668673</v>
      </c>
      <c r="F39" s="58">
        <f t="shared" si="2"/>
        <v>1670.4956356760122</v>
      </c>
      <c r="G39" s="58">
        <f t="shared" si="3"/>
        <v>53604.290459354073</v>
      </c>
    </row>
    <row r="40" spans="2:7" x14ac:dyDescent="0.2">
      <c r="B40" s="57">
        <v>32</v>
      </c>
      <c r="C40" s="58">
        <f t="shared" si="4"/>
        <v>53604.290459354073</v>
      </c>
      <c r="D40" s="58">
        <f t="shared" si="0"/>
        <v>2038.9942096428795</v>
      </c>
      <c r="E40" s="58">
        <f t="shared" si="1"/>
        <v>357.36193639569382</v>
      </c>
      <c r="F40" s="58">
        <f t="shared" si="2"/>
        <v>1681.6322732471856</v>
      </c>
      <c r="G40" s="58">
        <f t="shared" si="3"/>
        <v>51922.658186106884</v>
      </c>
    </row>
    <row r="41" spans="2:7" x14ac:dyDescent="0.2">
      <c r="B41" s="57">
        <v>33</v>
      </c>
      <c r="C41" s="58">
        <f t="shared" si="4"/>
        <v>51922.658186106884</v>
      </c>
      <c r="D41" s="58">
        <f t="shared" ref="D41:D68" si="5">$C$6</f>
        <v>2038.9942096428795</v>
      </c>
      <c r="E41" s="58">
        <f t="shared" ref="E41:E68" si="6">C41*$C$5/12</f>
        <v>346.15105457404593</v>
      </c>
      <c r="F41" s="58">
        <f t="shared" ref="F41:F72" si="7">D41-E41</f>
        <v>1692.8431550688335</v>
      </c>
      <c r="G41" s="58">
        <f t="shared" ref="G41:G72" si="8">C41-F41</f>
        <v>50229.815031038052</v>
      </c>
    </row>
    <row r="42" spans="2:7" x14ac:dyDescent="0.2">
      <c r="B42" s="57">
        <v>34</v>
      </c>
      <c r="C42" s="58">
        <f t="shared" ref="C42:C68" si="9">G41</f>
        <v>50229.815031038052</v>
      </c>
      <c r="D42" s="58">
        <f t="shared" si="5"/>
        <v>2038.9942096428795</v>
      </c>
      <c r="E42" s="58">
        <f t="shared" si="6"/>
        <v>334.86543354025372</v>
      </c>
      <c r="F42" s="58">
        <f t="shared" si="7"/>
        <v>1704.1287761026258</v>
      </c>
      <c r="G42" s="58">
        <f t="shared" si="8"/>
        <v>48525.686254935426</v>
      </c>
    </row>
    <row r="43" spans="2:7" x14ac:dyDescent="0.2">
      <c r="B43" s="57">
        <v>35</v>
      </c>
      <c r="C43" s="58">
        <f t="shared" si="9"/>
        <v>48525.686254935426</v>
      </c>
      <c r="D43" s="58">
        <f t="shared" si="5"/>
        <v>2038.9942096428795</v>
      </c>
      <c r="E43" s="58">
        <f t="shared" si="6"/>
        <v>323.50457503290284</v>
      </c>
      <c r="F43" s="58">
        <f t="shared" si="7"/>
        <v>1715.4896346099767</v>
      </c>
      <c r="G43" s="58">
        <f t="shared" si="8"/>
        <v>46810.196620325449</v>
      </c>
    </row>
    <row r="44" spans="2:7" x14ac:dyDescent="0.2">
      <c r="B44" s="57">
        <v>36</v>
      </c>
      <c r="C44" s="58">
        <f t="shared" si="9"/>
        <v>46810.196620325449</v>
      </c>
      <c r="D44" s="58">
        <f t="shared" si="5"/>
        <v>2038.9942096428795</v>
      </c>
      <c r="E44" s="58">
        <f t="shared" si="6"/>
        <v>312.06797746883632</v>
      </c>
      <c r="F44" s="58">
        <f t="shared" si="7"/>
        <v>1726.9262321740432</v>
      </c>
      <c r="G44" s="58">
        <f t="shared" si="8"/>
        <v>45083.270388151403</v>
      </c>
    </row>
    <row r="45" spans="2:7" x14ac:dyDescent="0.2">
      <c r="B45" s="57">
        <v>37</v>
      </c>
      <c r="C45" s="58">
        <f t="shared" si="9"/>
        <v>45083.270388151403</v>
      </c>
      <c r="D45" s="58">
        <f t="shared" si="5"/>
        <v>2038.9942096428795</v>
      </c>
      <c r="E45" s="58">
        <f t="shared" si="6"/>
        <v>300.55513592100937</v>
      </c>
      <c r="F45" s="58">
        <f t="shared" si="7"/>
        <v>1738.43907372187</v>
      </c>
      <c r="G45" s="58">
        <f t="shared" si="8"/>
        <v>43344.831314429532</v>
      </c>
    </row>
    <row r="46" spans="2:7" x14ac:dyDescent="0.2">
      <c r="B46" s="57">
        <v>38</v>
      </c>
      <c r="C46" s="58">
        <f t="shared" si="9"/>
        <v>43344.831314429532</v>
      </c>
      <c r="D46" s="58">
        <f t="shared" si="5"/>
        <v>2038.9942096428795</v>
      </c>
      <c r="E46" s="58">
        <f t="shared" si="6"/>
        <v>288.96554209619688</v>
      </c>
      <c r="F46" s="58">
        <f t="shared" si="7"/>
        <v>1750.0286675466825</v>
      </c>
      <c r="G46" s="58">
        <f t="shared" si="8"/>
        <v>41594.802646882847</v>
      </c>
    </row>
    <row r="47" spans="2:7" x14ac:dyDescent="0.2">
      <c r="B47" s="57">
        <v>39</v>
      </c>
      <c r="C47" s="58">
        <f t="shared" si="9"/>
        <v>41594.802646882847</v>
      </c>
      <c r="D47" s="58">
        <f t="shared" si="5"/>
        <v>2038.9942096428795</v>
      </c>
      <c r="E47" s="58">
        <f t="shared" si="6"/>
        <v>277.29868431255233</v>
      </c>
      <c r="F47" s="58">
        <f t="shared" si="7"/>
        <v>1761.6955253303272</v>
      </c>
      <c r="G47" s="58">
        <f t="shared" si="8"/>
        <v>39833.107121552523</v>
      </c>
    </row>
    <row r="48" spans="2:7" x14ac:dyDescent="0.2">
      <c r="B48" s="57">
        <v>40</v>
      </c>
      <c r="C48" s="58">
        <f t="shared" si="9"/>
        <v>39833.107121552523</v>
      </c>
      <c r="D48" s="58">
        <f t="shared" si="5"/>
        <v>2038.9942096428795</v>
      </c>
      <c r="E48" s="58">
        <f t="shared" si="6"/>
        <v>265.55404747701681</v>
      </c>
      <c r="F48" s="58">
        <f t="shared" si="7"/>
        <v>1773.4401621658626</v>
      </c>
      <c r="G48" s="58">
        <f t="shared" si="8"/>
        <v>38059.666959386661</v>
      </c>
    </row>
    <row r="49" spans="2:7" x14ac:dyDescent="0.2">
      <c r="B49" s="57">
        <v>41</v>
      </c>
      <c r="C49" s="58">
        <f t="shared" si="9"/>
        <v>38059.666959386661</v>
      </c>
      <c r="D49" s="58">
        <f t="shared" si="5"/>
        <v>2038.9942096428795</v>
      </c>
      <c r="E49" s="58">
        <f t="shared" si="6"/>
        <v>253.73111306257775</v>
      </c>
      <c r="F49" s="58">
        <f t="shared" si="7"/>
        <v>1785.2630965803016</v>
      </c>
      <c r="G49" s="58">
        <f t="shared" si="8"/>
        <v>36274.403862806357</v>
      </c>
    </row>
    <row r="50" spans="2:7" x14ac:dyDescent="0.2">
      <c r="B50" s="57">
        <v>42</v>
      </c>
      <c r="C50" s="58">
        <f t="shared" si="9"/>
        <v>36274.403862806357</v>
      </c>
      <c r="D50" s="58">
        <f t="shared" si="5"/>
        <v>2038.9942096428795</v>
      </c>
      <c r="E50" s="58">
        <f t="shared" si="6"/>
        <v>241.82935908537573</v>
      </c>
      <c r="F50" s="58">
        <f t="shared" si="7"/>
        <v>1797.1648505575038</v>
      </c>
      <c r="G50" s="58">
        <f t="shared" si="8"/>
        <v>34477.23901224885</v>
      </c>
    </row>
    <row r="51" spans="2:7" x14ac:dyDescent="0.2">
      <c r="B51" s="57">
        <v>43</v>
      </c>
      <c r="C51" s="58">
        <f t="shared" si="9"/>
        <v>34477.23901224885</v>
      </c>
      <c r="D51" s="58">
        <f t="shared" si="5"/>
        <v>2038.9942096428795</v>
      </c>
      <c r="E51" s="58">
        <f t="shared" si="6"/>
        <v>229.84826008165899</v>
      </c>
      <c r="F51" s="58">
        <f t="shared" si="7"/>
        <v>1809.1459495612205</v>
      </c>
      <c r="G51" s="58">
        <f t="shared" si="8"/>
        <v>32668.093062687629</v>
      </c>
    </row>
    <row r="52" spans="2:7" x14ac:dyDescent="0.2">
      <c r="B52" s="57">
        <v>44</v>
      </c>
      <c r="C52" s="58">
        <f t="shared" si="9"/>
        <v>32668.093062687629</v>
      </c>
      <c r="D52" s="58">
        <f t="shared" si="5"/>
        <v>2038.9942096428795</v>
      </c>
      <c r="E52" s="58">
        <f t="shared" si="6"/>
        <v>217.78728708458422</v>
      </c>
      <c r="F52" s="58">
        <f t="shared" si="7"/>
        <v>1821.2069225582952</v>
      </c>
      <c r="G52" s="58">
        <f t="shared" si="8"/>
        <v>30846.886140129332</v>
      </c>
    </row>
    <row r="53" spans="2:7" x14ac:dyDescent="0.2">
      <c r="B53" s="57">
        <v>45</v>
      </c>
      <c r="C53" s="58">
        <f t="shared" si="9"/>
        <v>30846.886140129332</v>
      </c>
      <c r="D53" s="58">
        <f t="shared" si="5"/>
        <v>2038.9942096428795</v>
      </c>
      <c r="E53" s="58">
        <f t="shared" si="6"/>
        <v>205.64590760086222</v>
      </c>
      <c r="F53" s="58">
        <f t="shared" si="7"/>
        <v>1833.3483020420172</v>
      </c>
      <c r="G53" s="58">
        <f t="shared" si="8"/>
        <v>29013.537838087315</v>
      </c>
    </row>
    <row r="54" spans="2:7" x14ac:dyDescent="0.2">
      <c r="B54" s="57">
        <v>46</v>
      </c>
      <c r="C54" s="58">
        <f t="shared" si="9"/>
        <v>29013.537838087315</v>
      </c>
      <c r="D54" s="58">
        <f t="shared" si="5"/>
        <v>2038.9942096428795</v>
      </c>
      <c r="E54" s="58">
        <f t="shared" si="6"/>
        <v>193.42358558724877</v>
      </c>
      <c r="F54" s="58">
        <f t="shared" si="7"/>
        <v>1845.5706240556308</v>
      </c>
      <c r="G54" s="58">
        <f t="shared" si="8"/>
        <v>27167.967214031683</v>
      </c>
    </row>
    <row r="55" spans="2:7" x14ac:dyDescent="0.2">
      <c r="B55" s="57">
        <v>47</v>
      </c>
      <c r="C55" s="58">
        <f t="shared" si="9"/>
        <v>27167.967214031683</v>
      </c>
      <c r="D55" s="58">
        <f t="shared" si="5"/>
        <v>2038.9942096428795</v>
      </c>
      <c r="E55" s="58">
        <f t="shared" si="6"/>
        <v>181.11978142687789</v>
      </c>
      <c r="F55" s="58">
        <f t="shared" si="7"/>
        <v>1857.8744282160017</v>
      </c>
      <c r="G55" s="58">
        <f t="shared" si="8"/>
        <v>25310.092785815683</v>
      </c>
    </row>
    <row r="56" spans="2:7" x14ac:dyDescent="0.2">
      <c r="B56" s="57">
        <v>48</v>
      </c>
      <c r="C56" s="58">
        <f t="shared" si="9"/>
        <v>25310.092785815683</v>
      </c>
      <c r="D56" s="58">
        <f t="shared" si="5"/>
        <v>2038.9942096428795</v>
      </c>
      <c r="E56" s="58">
        <f t="shared" si="6"/>
        <v>168.73395190543789</v>
      </c>
      <c r="F56" s="58">
        <f t="shared" si="7"/>
        <v>1870.2602577374416</v>
      </c>
      <c r="G56" s="58">
        <f t="shared" si="8"/>
        <v>23439.832528078241</v>
      </c>
    </row>
    <row r="57" spans="2:7" x14ac:dyDescent="0.2">
      <c r="B57" s="57">
        <v>49</v>
      </c>
      <c r="C57" s="58">
        <f t="shared" si="9"/>
        <v>23439.832528078241</v>
      </c>
      <c r="D57" s="58">
        <f t="shared" si="5"/>
        <v>2038.9942096428795</v>
      </c>
      <c r="E57" s="58">
        <f t="shared" si="6"/>
        <v>156.26555018718827</v>
      </c>
      <c r="F57" s="58">
        <f t="shared" si="7"/>
        <v>1882.7286594556913</v>
      </c>
      <c r="G57" s="58">
        <f t="shared" si="8"/>
        <v>21557.103868622551</v>
      </c>
    </row>
    <row r="58" spans="2:7" x14ac:dyDescent="0.2">
      <c r="B58" s="57">
        <v>50</v>
      </c>
      <c r="C58" s="58">
        <f t="shared" si="9"/>
        <v>21557.103868622551</v>
      </c>
      <c r="D58" s="58">
        <f t="shared" si="5"/>
        <v>2038.9942096428795</v>
      </c>
      <c r="E58" s="58">
        <f t="shared" si="6"/>
        <v>143.714025790817</v>
      </c>
      <c r="F58" s="58">
        <f t="shared" si="7"/>
        <v>1895.2801838520625</v>
      </c>
      <c r="G58" s="58">
        <f t="shared" si="8"/>
        <v>19661.82368477049</v>
      </c>
    </row>
    <row r="59" spans="2:7" x14ac:dyDescent="0.2">
      <c r="B59" s="57">
        <v>51</v>
      </c>
      <c r="C59" s="58">
        <f t="shared" si="9"/>
        <v>19661.82368477049</v>
      </c>
      <c r="D59" s="58">
        <f t="shared" si="5"/>
        <v>2038.9942096428795</v>
      </c>
      <c r="E59" s="58">
        <f t="shared" si="6"/>
        <v>131.07882456513661</v>
      </c>
      <c r="F59" s="58">
        <f t="shared" si="7"/>
        <v>1907.9153850777429</v>
      </c>
      <c r="G59" s="58">
        <f t="shared" si="8"/>
        <v>17753.908299692746</v>
      </c>
    </row>
    <row r="60" spans="2:7" x14ac:dyDescent="0.2">
      <c r="B60" s="57">
        <v>52</v>
      </c>
      <c r="C60" s="58">
        <f t="shared" si="9"/>
        <v>17753.908299692746</v>
      </c>
      <c r="D60" s="58">
        <f t="shared" si="5"/>
        <v>2038.9942096428795</v>
      </c>
      <c r="E60" s="58">
        <f t="shared" si="6"/>
        <v>118.35938866461832</v>
      </c>
      <c r="F60" s="58">
        <f t="shared" si="7"/>
        <v>1920.6348209782611</v>
      </c>
      <c r="G60" s="58">
        <f t="shared" si="8"/>
        <v>15833.273478714485</v>
      </c>
    </row>
    <row r="61" spans="2:7" x14ac:dyDescent="0.2">
      <c r="B61" s="57">
        <v>53</v>
      </c>
      <c r="C61" s="58">
        <f t="shared" si="9"/>
        <v>15833.273478714485</v>
      </c>
      <c r="D61" s="58">
        <f t="shared" si="5"/>
        <v>2038.9942096428795</v>
      </c>
      <c r="E61" s="58">
        <f t="shared" si="6"/>
        <v>105.55515652476323</v>
      </c>
      <c r="F61" s="58">
        <f t="shared" si="7"/>
        <v>1933.4390531181161</v>
      </c>
      <c r="G61" s="58">
        <f t="shared" si="8"/>
        <v>13899.834425596369</v>
      </c>
    </row>
    <row r="62" spans="2:7" x14ac:dyDescent="0.2">
      <c r="B62" s="57">
        <v>54</v>
      </c>
      <c r="C62" s="58">
        <f t="shared" si="9"/>
        <v>13899.834425596369</v>
      </c>
      <c r="D62" s="58">
        <f t="shared" si="5"/>
        <v>2038.9942096428795</v>
      </c>
      <c r="E62" s="58">
        <f t="shared" si="6"/>
        <v>92.665562837309139</v>
      </c>
      <c r="F62" s="58">
        <f t="shared" si="7"/>
        <v>1946.3286468055703</v>
      </c>
      <c r="G62" s="58">
        <f t="shared" si="8"/>
        <v>11953.505778790799</v>
      </c>
    </row>
    <row r="63" spans="2:7" x14ac:dyDescent="0.2">
      <c r="B63" s="57">
        <v>55</v>
      </c>
      <c r="C63" s="58">
        <f t="shared" si="9"/>
        <v>11953.505778790799</v>
      </c>
      <c r="D63" s="58">
        <f t="shared" si="5"/>
        <v>2038.9942096428795</v>
      </c>
      <c r="E63" s="58">
        <f t="shared" si="6"/>
        <v>79.690038525271987</v>
      </c>
      <c r="F63" s="58">
        <f t="shared" si="7"/>
        <v>1959.3041711176074</v>
      </c>
      <c r="G63" s="58">
        <f t="shared" si="8"/>
        <v>9994.2016076731925</v>
      </c>
    </row>
    <row r="64" spans="2:7" x14ac:dyDescent="0.2">
      <c r="B64" s="57">
        <v>56</v>
      </c>
      <c r="C64" s="58">
        <f t="shared" si="9"/>
        <v>9994.2016076731925</v>
      </c>
      <c r="D64" s="58">
        <f t="shared" si="5"/>
        <v>2038.9942096428795</v>
      </c>
      <c r="E64" s="58">
        <f t="shared" si="6"/>
        <v>66.628010717821283</v>
      </c>
      <c r="F64" s="58">
        <f t="shared" si="7"/>
        <v>1972.3661989250581</v>
      </c>
      <c r="G64" s="58">
        <f t="shared" si="8"/>
        <v>8021.8354087481348</v>
      </c>
    </row>
    <row r="65" spans="2:14" x14ac:dyDescent="0.2">
      <c r="B65" s="57">
        <v>57</v>
      </c>
      <c r="C65" s="58">
        <f t="shared" si="9"/>
        <v>8021.8354087481348</v>
      </c>
      <c r="D65" s="58">
        <f t="shared" si="5"/>
        <v>2038.9942096428795</v>
      </c>
      <c r="E65" s="58">
        <f t="shared" si="6"/>
        <v>53.478902724987563</v>
      </c>
      <c r="F65" s="58">
        <f t="shared" si="7"/>
        <v>1985.5153069178918</v>
      </c>
      <c r="G65" s="58">
        <f t="shared" si="8"/>
        <v>6036.3201018302425</v>
      </c>
    </row>
    <row r="66" spans="2:14" x14ac:dyDescent="0.2">
      <c r="B66" s="57">
        <v>58</v>
      </c>
      <c r="C66" s="58">
        <f t="shared" si="9"/>
        <v>6036.3201018302425</v>
      </c>
      <c r="D66" s="58">
        <f t="shared" si="5"/>
        <v>2038.9942096428795</v>
      </c>
      <c r="E66" s="58">
        <f t="shared" si="6"/>
        <v>40.242134012201618</v>
      </c>
      <c r="F66" s="58">
        <f t="shared" si="7"/>
        <v>1998.7520756306778</v>
      </c>
      <c r="G66" s="58">
        <f t="shared" si="8"/>
        <v>4037.5680261995649</v>
      </c>
    </row>
    <row r="67" spans="2:14" x14ac:dyDescent="0.2">
      <c r="B67" s="57">
        <v>59</v>
      </c>
      <c r="C67" s="58">
        <f t="shared" si="9"/>
        <v>4037.5680261995649</v>
      </c>
      <c r="D67" s="58">
        <f t="shared" si="5"/>
        <v>2038.9942096428795</v>
      </c>
      <c r="E67" s="58">
        <f t="shared" si="6"/>
        <v>26.917120174663765</v>
      </c>
      <c r="F67" s="58">
        <f t="shared" si="7"/>
        <v>2012.0770894682157</v>
      </c>
      <c r="G67" s="58">
        <f t="shared" si="8"/>
        <v>2025.4909367313492</v>
      </c>
    </row>
    <row r="68" spans="2:14" x14ac:dyDescent="0.2">
      <c r="B68" s="57">
        <v>60</v>
      </c>
      <c r="C68" s="58">
        <f t="shared" si="9"/>
        <v>2025.4909367313492</v>
      </c>
      <c r="D68" s="58">
        <f t="shared" si="5"/>
        <v>2038.9942096428795</v>
      </c>
      <c r="E68" s="58">
        <f t="shared" si="6"/>
        <v>13.503272911542327</v>
      </c>
      <c r="F68" s="58">
        <f t="shared" si="7"/>
        <v>2025.4909367313371</v>
      </c>
      <c r="G68" s="58">
        <f t="shared" si="8"/>
        <v>1.2050804798491299E-11</v>
      </c>
    </row>
    <row r="70" spans="2:14" x14ac:dyDescent="0.2">
      <c r="B70" s="52" t="s">
        <v>607</v>
      </c>
    </row>
    <row r="71" spans="2:14" x14ac:dyDescent="0.2">
      <c r="C71" s="42" t="s">
        <v>154</v>
      </c>
      <c r="D71" s="42" t="s">
        <v>155</v>
      </c>
      <c r="E71" s="42" t="s">
        <v>156</v>
      </c>
      <c r="F71" s="42" t="s">
        <v>157</v>
      </c>
      <c r="G71" s="42" t="s">
        <v>158</v>
      </c>
      <c r="H71" s="42" t="s">
        <v>159</v>
      </c>
      <c r="I71" s="42" t="s">
        <v>160</v>
      </c>
      <c r="J71" s="42" t="s">
        <v>161</v>
      </c>
      <c r="K71" s="42" t="s">
        <v>162</v>
      </c>
      <c r="L71" s="42" t="s">
        <v>163</v>
      </c>
      <c r="M71" s="42" t="s">
        <v>164</v>
      </c>
      <c r="N71" s="42" t="s">
        <v>165</v>
      </c>
    </row>
    <row r="72" spans="2:14" x14ac:dyDescent="0.2">
      <c r="B72" s="12" t="s">
        <v>608</v>
      </c>
      <c r="C72" s="58">
        <f>E9</f>
        <v>670.4</v>
      </c>
      <c r="D72" s="58">
        <f>E10</f>
        <v>661.27603860238082</v>
      </c>
      <c r="E72" s="58">
        <f>E11</f>
        <v>652.09125079544413</v>
      </c>
      <c r="F72" s="58">
        <f>E12</f>
        <v>642.84523106979452</v>
      </c>
      <c r="G72" s="58">
        <f>E13</f>
        <v>633.53757121264073</v>
      </c>
      <c r="H72" s="58">
        <f>E14</f>
        <v>624.16786028977242</v>
      </c>
      <c r="I72" s="58">
        <f>E15</f>
        <v>614.73568462741832</v>
      </c>
      <c r="J72" s="58">
        <f>E16</f>
        <v>605.24062779398184</v>
      </c>
      <c r="K72" s="58">
        <f>E17</f>
        <v>595.68227058165587</v>
      </c>
      <c r="L72" s="58">
        <f>E18</f>
        <v>586.06019098791444</v>
      </c>
      <c r="M72" s="58">
        <f>E19</f>
        <v>576.37396419688127</v>
      </c>
      <c r="N72" s="58">
        <f>E20</f>
        <v>566.62316256057466</v>
      </c>
    </row>
    <row r="73" spans="2:14" x14ac:dyDescent="0.2">
      <c r="C73" s="42" t="s">
        <v>609</v>
      </c>
      <c r="D73" s="42" t="s">
        <v>610</v>
      </c>
      <c r="E73" s="42" t="s">
        <v>611</v>
      </c>
      <c r="F73" s="42" t="s">
        <v>612</v>
      </c>
      <c r="G73" s="42" t="s">
        <v>613</v>
      </c>
    </row>
    <row r="74" spans="2:14" x14ac:dyDescent="0.2">
      <c r="B74" s="12" t="s">
        <v>614</v>
      </c>
      <c r="C74" s="38">
        <f>SUM(E9:E20)</f>
        <v>7429.0338527184576</v>
      </c>
      <c r="D74" s="38">
        <f>SUM(E21:E32)</f>
        <v>6014.8138331456421</v>
      </c>
      <c r="E74" s="38">
        <f>SUM(E33:E44)</f>
        <v>4483.2142494309746</v>
      </c>
      <c r="F74" s="38">
        <f>SUM(E45:E56)</f>
        <v>2824.4926556413993</v>
      </c>
      <c r="G74" s="38">
        <f>SUM(E57:E68)</f>
        <v>1028.0979876363212</v>
      </c>
    </row>
    <row r="76" spans="2:14" x14ac:dyDescent="0.2">
      <c r="B76" s="12" t="s">
        <v>615</v>
      </c>
      <c r="C76" s="38">
        <f>SUM(F9:F20)</f>
        <v>17038.896662996096</v>
      </c>
      <c r="D76" s="38">
        <f>SUM(F21:F32)</f>
        <v>18453.116682568911</v>
      </c>
      <c r="E76" s="38">
        <f>SUM(F33:F44)</f>
        <v>19984.716266283576</v>
      </c>
      <c r="F76" s="38">
        <f>SUM(F45:F56)</f>
        <v>21643.437860073151</v>
      </c>
      <c r="G76" s="38">
        <f>SUM(F57:F68)</f>
        <v>23439.832528078234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13"/>
  <sheetViews>
    <sheetView showGridLines="0" topLeftCell="A2" zoomScale="161" zoomScaleNormal="100" workbookViewId="0">
      <selection activeCell="E16" sqref="E16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4" width="9.5" customWidth="1"/>
    <col min="15" max="19" width="11" customWidth="1"/>
  </cols>
  <sheetData>
    <row r="1" spans="2:19" ht="17" x14ac:dyDescent="0.2">
      <c r="B1" s="15" t="s">
        <v>616</v>
      </c>
    </row>
    <row r="2" spans="2:19" x14ac:dyDescent="0.2">
      <c r="B2" s="13" t="s">
        <v>617</v>
      </c>
    </row>
    <row r="4" spans="2:19" ht="26" x14ac:dyDescent="0.2">
      <c r="B4" s="30" t="s">
        <v>618</v>
      </c>
      <c r="C4" s="17" t="s">
        <v>154</v>
      </c>
      <c r="D4" s="17" t="s">
        <v>155</v>
      </c>
      <c r="E4" s="17" t="s">
        <v>156</v>
      </c>
      <c r="F4" s="17" t="s">
        <v>157</v>
      </c>
      <c r="G4" s="17" t="s">
        <v>158</v>
      </c>
      <c r="H4" s="17" t="s">
        <v>159</v>
      </c>
      <c r="I4" s="17" t="s">
        <v>160</v>
      </c>
      <c r="J4" s="17" t="s">
        <v>161</v>
      </c>
      <c r="K4" s="17" t="s">
        <v>162</v>
      </c>
      <c r="L4" s="17" t="s">
        <v>163</v>
      </c>
      <c r="M4" s="17" t="s">
        <v>164</v>
      </c>
      <c r="N4" s="17" t="s">
        <v>165</v>
      </c>
      <c r="O4" s="17" t="s">
        <v>619</v>
      </c>
      <c r="P4" s="17" t="s">
        <v>620</v>
      </c>
      <c r="Q4" s="17" t="s">
        <v>621</v>
      </c>
      <c r="R4" s="17" t="s">
        <v>622</v>
      </c>
      <c r="S4" s="17" t="s">
        <v>623</v>
      </c>
    </row>
    <row r="5" spans="2:19" x14ac:dyDescent="0.2">
      <c r="B5" s="10" t="s">
        <v>624</v>
      </c>
      <c r="C5" s="59">
        <f>Pressupostos!C49*Pressupostos!C10*Pressupostos!C75*Pressupostos!C11</f>
        <v>480</v>
      </c>
      <c r="D5" s="59">
        <f>Pressupostos!C49*Pressupostos!C10*Pressupostos!D75*Pressupostos!C11</f>
        <v>660</v>
      </c>
      <c r="E5" s="59">
        <f>Pressupostos!C49*Pressupostos!C10*Pressupostos!E75*Pressupostos!C11</f>
        <v>840</v>
      </c>
      <c r="F5" s="59">
        <f>Pressupostos!C49*Pressupostos!C10*Pressupostos!F75*Pressupostos!C11</f>
        <v>960</v>
      </c>
      <c r="G5" s="59">
        <f>Pressupostos!C49*Pressupostos!C10*Pressupostos!G75*Pressupostos!C11</f>
        <v>1080</v>
      </c>
      <c r="H5" s="59">
        <f>Pressupostos!C49*Pressupostos!C10*Pressupostos!H75*Pressupostos!C11</f>
        <v>1200</v>
      </c>
      <c r="I5" s="59">
        <f>Pressupostos!C49*Pressupostos!C10*Pressupostos!I75*Pressupostos!C11</f>
        <v>1260</v>
      </c>
      <c r="J5" s="59">
        <f>Pressupostos!C49*Pressupostos!C10*Pressupostos!J75*Pressupostos!C11</f>
        <v>1320</v>
      </c>
      <c r="K5" s="59">
        <f>Pressupostos!C49*Pressupostos!C10*Pressupostos!K75*Pressupostos!C11</f>
        <v>1200</v>
      </c>
      <c r="L5" s="59">
        <f>Pressupostos!C49*Pressupostos!C10*Pressupostos!L75*Pressupostos!C11</f>
        <v>1140</v>
      </c>
      <c r="M5" s="59">
        <f>Pressupostos!C49*Pressupostos!C10*Pressupostos!M75*Pressupostos!C11</f>
        <v>1140</v>
      </c>
      <c r="N5" s="59">
        <f>Pressupostos!C49*Pressupostos!C10*Pressupostos!N75*Pressupostos!C11</f>
        <v>1260</v>
      </c>
      <c r="O5" s="59">
        <f>SUM(C5:N5)</f>
        <v>12540</v>
      </c>
      <c r="P5" s="59">
        <f>Pressupostos!C49*Pressupostos!C10*Pressupostos!C11*12*(1+Pressupostos!C12)^1</f>
        <v>15120</v>
      </c>
      <c r="Q5" s="59">
        <f>Pressupostos!C49*Pressupostos!C10*Pressupostos!C11*12*(1+Pressupostos!C12)^2</f>
        <v>15876</v>
      </c>
      <c r="R5" s="59">
        <f>Pressupostos!C49*Pressupostos!C10*Pressupostos!C11*12*(1+Pressupostos!C12)^3</f>
        <v>16669.800000000003</v>
      </c>
      <c r="S5" s="59">
        <f>Pressupostos!C49*Pressupostos!C10*Pressupostos!C11*12*(1+Pressupostos!C12)^4</f>
        <v>17503.29</v>
      </c>
    </row>
    <row r="6" spans="2:19" x14ac:dyDescent="0.2">
      <c r="B6" s="10" t="s">
        <v>625</v>
      </c>
      <c r="C6" s="60">
        <f>SUMIFS(Eventos!$N$5:$N$116,Eventos!$E$5:$E$116,1)</f>
        <v>830</v>
      </c>
      <c r="D6" s="60">
        <f>SUMIFS(Eventos!$N$5:$N$116,Eventos!$E$5:$E$116,2)</f>
        <v>1170</v>
      </c>
      <c r="E6" s="60">
        <f>SUMIFS(Eventos!$N$5:$N$116,Eventos!$E$5:$E$116,3)</f>
        <v>1680</v>
      </c>
      <c r="F6" s="60">
        <f>SUMIFS(Eventos!$N$5:$N$116,Eventos!$E$5:$E$116,4)</f>
        <v>0</v>
      </c>
      <c r="G6" s="60">
        <f>SUMIFS(Eventos!$N$5:$N$116,Eventos!$E$5:$E$116,5)</f>
        <v>450</v>
      </c>
      <c r="H6" s="60">
        <f>SUMIFS(Eventos!$N$5:$N$116,Eventos!$E$5:$E$116,6)</f>
        <v>4050</v>
      </c>
      <c r="I6" s="60">
        <f>SUMIFS(Eventos!$N$5:$N$116,Eventos!$E$5:$E$116,7)</f>
        <v>1200</v>
      </c>
      <c r="J6" s="60">
        <f>SUMIFS(Eventos!$N$5:$N$116,Eventos!$E$5:$E$116,8)</f>
        <v>2400</v>
      </c>
      <c r="K6" s="60">
        <f>SUMIFS(Eventos!$N$5:$N$116,Eventos!$E$5:$E$116,9)</f>
        <v>1600</v>
      </c>
      <c r="L6" s="60">
        <f>SUMIFS(Eventos!$N$5:$N$116,Eventos!$E$5:$E$116,10)</f>
        <v>600</v>
      </c>
      <c r="M6" s="60">
        <f>SUMIFS(Eventos!$N$5:$N$116,Eventos!$E$5:$E$116,11)</f>
        <v>1500</v>
      </c>
      <c r="N6" s="60">
        <f>SUMIFS(Eventos!$N$5:$N$116,Eventos!$E$5:$E$116,12)</f>
        <v>2450</v>
      </c>
      <c r="O6" s="60">
        <f>Eventos!N121</f>
        <v>17930</v>
      </c>
      <c r="P6" s="60">
        <f>Eventos!N121*(1+Pressupostos!C12)^1</f>
        <v>18826.5</v>
      </c>
      <c r="Q6" s="60">
        <f>Eventos!N121*(1+Pressupostos!C12)^2</f>
        <v>19767.825000000001</v>
      </c>
      <c r="R6" s="60">
        <f>Eventos!N121*(1+Pressupostos!C12)^3</f>
        <v>20756.216250000001</v>
      </c>
      <c r="S6" s="60">
        <f>Eventos!N121*(1+Pressupostos!C12)^4</f>
        <v>21794.027062500001</v>
      </c>
    </row>
    <row r="7" spans="2:19" x14ac:dyDescent="0.2">
      <c r="B7" s="12" t="s">
        <v>626</v>
      </c>
      <c r="C7" s="28">
        <f t="shared" ref="C7:S7" si="0">C5+C6</f>
        <v>1310</v>
      </c>
      <c r="D7" s="28">
        <f t="shared" si="0"/>
        <v>1830</v>
      </c>
      <c r="E7" s="28">
        <f t="shared" si="0"/>
        <v>2520</v>
      </c>
      <c r="F7" s="28">
        <f t="shared" si="0"/>
        <v>960</v>
      </c>
      <c r="G7" s="28">
        <f t="shared" si="0"/>
        <v>1530</v>
      </c>
      <c r="H7" s="28">
        <f t="shared" si="0"/>
        <v>5250</v>
      </c>
      <c r="I7" s="28">
        <f t="shared" si="0"/>
        <v>2460</v>
      </c>
      <c r="J7" s="28">
        <f t="shared" si="0"/>
        <v>3720</v>
      </c>
      <c r="K7" s="28">
        <f t="shared" si="0"/>
        <v>2800</v>
      </c>
      <c r="L7" s="28">
        <f t="shared" si="0"/>
        <v>1740</v>
      </c>
      <c r="M7" s="28">
        <f t="shared" si="0"/>
        <v>2640</v>
      </c>
      <c r="N7" s="28">
        <f t="shared" si="0"/>
        <v>3710</v>
      </c>
      <c r="O7" s="28">
        <f t="shared" si="0"/>
        <v>30470</v>
      </c>
      <c r="P7" s="28">
        <f t="shared" si="0"/>
        <v>33946.5</v>
      </c>
      <c r="Q7" s="28">
        <f t="shared" si="0"/>
        <v>35643.824999999997</v>
      </c>
      <c r="R7" s="28">
        <f t="shared" si="0"/>
        <v>37426.016250000001</v>
      </c>
      <c r="S7" s="28">
        <f t="shared" si="0"/>
        <v>39297.317062500006</v>
      </c>
    </row>
    <row r="8" spans="2:19" x14ac:dyDescent="0.2">
      <c r="B8" s="10" t="s">
        <v>627</v>
      </c>
      <c r="C8" s="56">
        <f>Pressupostos!C6</f>
        <v>10</v>
      </c>
      <c r="D8" s="56">
        <f>Pressupostos!C6</f>
        <v>10</v>
      </c>
      <c r="E8" s="56">
        <f>Pressupostos!C6</f>
        <v>10</v>
      </c>
      <c r="F8" s="56">
        <f>Pressupostos!C6</f>
        <v>10</v>
      </c>
      <c r="G8" s="56">
        <f>Pressupostos!C6</f>
        <v>10</v>
      </c>
      <c r="H8" s="56">
        <f>Pressupostos!C6</f>
        <v>10</v>
      </c>
      <c r="I8" s="56">
        <f>Pressupostos!C6</f>
        <v>10</v>
      </c>
      <c r="J8" s="56">
        <f>Pressupostos!C6</f>
        <v>10</v>
      </c>
      <c r="K8" s="56">
        <f>Pressupostos!C6</f>
        <v>10</v>
      </c>
      <c r="L8" s="56">
        <f>Pressupostos!C6</f>
        <v>10</v>
      </c>
      <c r="M8" s="56">
        <f>Pressupostos!C6</f>
        <v>10</v>
      </c>
      <c r="N8" s="56">
        <f>Pressupostos!C6</f>
        <v>10</v>
      </c>
      <c r="O8" s="56">
        <f>Pressupostos!C6</f>
        <v>10</v>
      </c>
      <c r="P8" s="56">
        <f>Pressupostos!C6</f>
        <v>10</v>
      </c>
      <c r="Q8" s="56">
        <f>Pressupostos!C6</f>
        <v>10</v>
      </c>
      <c r="R8" s="56">
        <f>Pressupostos!C6</f>
        <v>10</v>
      </c>
      <c r="S8" s="56">
        <f>Pressupostos!C6</f>
        <v>10</v>
      </c>
    </row>
    <row r="9" spans="2:19" x14ac:dyDescent="0.2">
      <c r="B9" s="10" t="s">
        <v>628</v>
      </c>
      <c r="C9" s="38">
        <f t="shared" ref="C9:S9" si="1">C7*C8</f>
        <v>13100</v>
      </c>
      <c r="D9" s="38">
        <f t="shared" si="1"/>
        <v>18300</v>
      </c>
      <c r="E9" s="38">
        <f t="shared" si="1"/>
        <v>25200</v>
      </c>
      <c r="F9" s="38">
        <f t="shared" si="1"/>
        <v>9600</v>
      </c>
      <c r="G9" s="38">
        <f t="shared" si="1"/>
        <v>15300</v>
      </c>
      <c r="H9" s="38">
        <f t="shared" si="1"/>
        <v>52500</v>
      </c>
      <c r="I9" s="38">
        <f t="shared" si="1"/>
        <v>24600</v>
      </c>
      <c r="J9" s="38">
        <f t="shared" si="1"/>
        <v>37200</v>
      </c>
      <c r="K9" s="38">
        <f t="shared" si="1"/>
        <v>28000</v>
      </c>
      <c r="L9" s="38">
        <f t="shared" si="1"/>
        <v>17400</v>
      </c>
      <c r="M9" s="38">
        <f t="shared" si="1"/>
        <v>26400</v>
      </c>
      <c r="N9" s="38">
        <f t="shared" si="1"/>
        <v>37100</v>
      </c>
      <c r="O9" s="38">
        <f t="shared" si="1"/>
        <v>304700</v>
      </c>
      <c r="P9" s="38">
        <f t="shared" si="1"/>
        <v>339465</v>
      </c>
      <c r="Q9" s="38">
        <f t="shared" si="1"/>
        <v>356438.25</v>
      </c>
      <c r="R9" s="38">
        <f t="shared" si="1"/>
        <v>374260.16249999998</v>
      </c>
      <c r="S9" s="38">
        <f t="shared" si="1"/>
        <v>392973.17062500003</v>
      </c>
    </row>
    <row r="10" spans="2:19" x14ac:dyDescent="0.2">
      <c r="B10" s="10" t="s">
        <v>629</v>
      </c>
      <c r="C10" s="38">
        <f>C9*Pressupostos!C7/(1+Pressupostos!C7)</f>
        <v>1507.0796460176994</v>
      </c>
      <c r="D10" s="38">
        <f>D9*Pressupostos!C7/(1+Pressupostos!C7)</f>
        <v>2105.3097345132746</v>
      </c>
      <c r="E10" s="38">
        <f>E9*Pressupostos!C7/(1+Pressupostos!C7)</f>
        <v>2899.1150442477879</v>
      </c>
      <c r="F10" s="38">
        <f>F9*Pressupostos!C7/(1+Pressupostos!C7)</f>
        <v>1104.424778761062</v>
      </c>
      <c r="G10" s="38">
        <f>G9*Pressupostos!C7/(1+Pressupostos!C7)</f>
        <v>1760.1769911504427</v>
      </c>
      <c r="H10" s="38">
        <f>H9*Pressupostos!C7/(1+Pressupostos!C7)</f>
        <v>6039.8230088495584</v>
      </c>
      <c r="I10" s="38">
        <f>I9*Pressupostos!C7/(1+Pressupostos!C7)</f>
        <v>2830.0884955752217</v>
      </c>
      <c r="J10" s="38">
        <f>J9*Pressupostos!C7/(1+Pressupostos!C7)</f>
        <v>4279.6460176991159</v>
      </c>
      <c r="K10" s="38">
        <f>K9*Pressupostos!C7/(1+Pressupostos!C7)</f>
        <v>3221.2389380530976</v>
      </c>
      <c r="L10" s="38">
        <f>L9*Pressupostos!C7/(1+Pressupostos!C7)</f>
        <v>2001.769911504425</v>
      </c>
      <c r="M10" s="38">
        <f>M9*Pressupostos!C7/(1+Pressupostos!C7)</f>
        <v>3037.1681415929206</v>
      </c>
      <c r="N10" s="38">
        <f>N9*Pressupostos!C7/(1+Pressupostos!C7)</f>
        <v>4268.141592920354</v>
      </c>
      <c r="O10" s="38">
        <f>O9*Pressupostos!C7/(1+Pressupostos!C7)</f>
        <v>35053.982300884956</v>
      </c>
      <c r="P10" s="38">
        <f>P9*Pressupostos!C7/(1+Pressupostos!C7)</f>
        <v>39053.495575221248</v>
      </c>
      <c r="Q10" s="38">
        <f>Q9*Pressupostos!C7/(1+Pressupostos!C7)</f>
        <v>41006.170353982307</v>
      </c>
      <c r="R10" s="38">
        <f>R9*Pressupostos!C7/(1+Pressupostos!C7)</f>
        <v>43056.478871681422</v>
      </c>
      <c r="S10" s="38">
        <f>S9*Pressupostos!C7/(1+Pressupostos!C7)</f>
        <v>45209.302815265495</v>
      </c>
    </row>
    <row r="11" spans="2:19" x14ac:dyDescent="0.2">
      <c r="B11" s="12" t="s">
        <v>630</v>
      </c>
      <c r="C11" s="29">
        <f t="shared" ref="C11:S11" si="2">C9-C10</f>
        <v>11592.920353982301</v>
      </c>
      <c r="D11" s="29">
        <f t="shared" si="2"/>
        <v>16194.690265486726</v>
      </c>
      <c r="E11" s="29">
        <f t="shared" si="2"/>
        <v>22300.884955752212</v>
      </c>
      <c r="F11" s="29">
        <f t="shared" si="2"/>
        <v>8495.575221238938</v>
      </c>
      <c r="G11" s="29">
        <f t="shared" si="2"/>
        <v>13539.823008849557</v>
      </c>
      <c r="H11" s="29">
        <f t="shared" si="2"/>
        <v>46460.176991150438</v>
      </c>
      <c r="I11" s="29">
        <f t="shared" si="2"/>
        <v>21769.911504424777</v>
      </c>
      <c r="J11" s="29">
        <f t="shared" si="2"/>
        <v>32920.353982300883</v>
      </c>
      <c r="K11" s="29">
        <f t="shared" si="2"/>
        <v>24778.761061946901</v>
      </c>
      <c r="L11" s="29">
        <f t="shared" si="2"/>
        <v>15398.230088495575</v>
      </c>
      <c r="M11" s="29">
        <f t="shared" si="2"/>
        <v>23362.83185840708</v>
      </c>
      <c r="N11" s="29">
        <f t="shared" si="2"/>
        <v>32831.85840707965</v>
      </c>
      <c r="O11" s="29">
        <f t="shared" si="2"/>
        <v>269646.01769911504</v>
      </c>
      <c r="P11" s="29">
        <f t="shared" si="2"/>
        <v>300411.50442477874</v>
      </c>
      <c r="Q11" s="29">
        <f t="shared" si="2"/>
        <v>315432.07964601769</v>
      </c>
      <c r="R11" s="29">
        <f t="shared" si="2"/>
        <v>331203.68362831854</v>
      </c>
      <c r="S11" s="29">
        <f t="shared" si="2"/>
        <v>347763.86780973454</v>
      </c>
    </row>
    <row r="12" spans="2:19" x14ac:dyDescent="0.2">
      <c r="B12" s="10" t="s">
        <v>631</v>
      </c>
      <c r="C12" s="38">
        <f>-C9*Pressupostos!C9</f>
        <v>-196.5</v>
      </c>
      <c r="D12" s="38">
        <f>-D9*Pressupostos!C9</f>
        <v>-274.5</v>
      </c>
      <c r="E12" s="38">
        <f>-E9*Pressupostos!C9</f>
        <v>-378</v>
      </c>
      <c r="F12" s="38">
        <f>-F9*Pressupostos!C9</f>
        <v>-144</v>
      </c>
      <c r="G12" s="38">
        <f>-G9*Pressupostos!C9</f>
        <v>-229.5</v>
      </c>
      <c r="H12" s="38">
        <f>-H9*Pressupostos!C9</f>
        <v>-787.5</v>
      </c>
      <c r="I12" s="38">
        <f>-I9*Pressupostos!C9</f>
        <v>-369</v>
      </c>
      <c r="J12" s="38">
        <f>-J9*Pressupostos!C9</f>
        <v>-558</v>
      </c>
      <c r="K12" s="38">
        <f>-K9*Pressupostos!C9</f>
        <v>-420</v>
      </c>
      <c r="L12" s="38">
        <f>-L9*Pressupostos!C9</f>
        <v>-261</v>
      </c>
      <c r="M12" s="38">
        <f>-M9*Pressupostos!C9</f>
        <v>-396</v>
      </c>
      <c r="N12" s="38">
        <f>-N9*Pressupostos!C9</f>
        <v>-556.5</v>
      </c>
      <c r="O12" s="38">
        <f>-O9*Pressupostos!C9</f>
        <v>-4570.5</v>
      </c>
      <c r="P12" s="38">
        <f>-P9*Pressupostos!C9</f>
        <v>-5091.9749999999995</v>
      </c>
      <c r="Q12" s="38">
        <f>-Q9*Pressupostos!C9</f>
        <v>-5346.5737499999996</v>
      </c>
      <c r="R12" s="38">
        <f>-R9*Pressupostos!C9</f>
        <v>-5613.902437499999</v>
      </c>
      <c r="S12" s="38">
        <f>-S9*Pressupostos!C9</f>
        <v>-5894.5975593749999</v>
      </c>
    </row>
    <row r="13" spans="2:19" x14ac:dyDescent="0.2">
      <c r="B13" s="61" t="s">
        <v>632</v>
      </c>
      <c r="C13" s="62">
        <f t="shared" ref="C13:S13" si="3">C11+C12</f>
        <v>11396.420353982301</v>
      </c>
      <c r="D13" s="62">
        <f t="shared" si="3"/>
        <v>15920.190265486726</v>
      </c>
      <c r="E13" s="62">
        <f t="shared" si="3"/>
        <v>21922.884955752212</v>
      </c>
      <c r="F13" s="62">
        <f t="shared" si="3"/>
        <v>8351.575221238938</v>
      </c>
      <c r="G13" s="62">
        <f t="shared" si="3"/>
        <v>13310.323008849557</v>
      </c>
      <c r="H13" s="62">
        <f t="shared" si="3"/>
        <v>45672.676991150438</v>
      </c>
      <c r="I13" s="62">
        <f t="shared" si="3"/>
        <v>21400.911504424777</v>
      </c>
      <c r="J13" s="62">
        <f t="shared" si="3"/>
        <v>32362.353982300883</v>
      </c>
      <c r="K13" s="62">
        <f t="shared" si="3"/>
        <v>24358.761061946901</v>
      </c>
      <c r="L13" s="62">
        <f t="shared" si="3"/>
        <v>15137.230088495575</v>
      </c>
      <c r="M13" s="62">
        <f t="shared" si="3"/>
        <v>22966.83185840708</v>
      </c>
      <c r="N13" s="62">
        <f t="shared" si="3"/>
        <v>32275.35840707965</v>
      </c>
      <c r="O13" s="62">
        <f t="shared" si="3"/>
        <v>265075.51769911504</v>
      </c>
      <c r="P13" s="62">
        <f t="shared" si="3"/>
        <v>295319.52942477877</v>
      </c>
      <c r="Q13" s="62">
        <f t="shared" si="3"/>
        <v>310085.50589601771</v>
      </c>
      <c r="R13" s="62">
        <f t="shared" si="3"/>
        <v>325589.78119081852</v>
      </c>
      <c r="S13" s="62">
        <f t="shared" si="3"/>
        <v>341869.27025035955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18"/>
  <sheetViews>
    <sheetView showGridLines="0" zoomScale="174"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14" width="9.5" customWidth="1"/>
    <col min="15" max="19" width="11" customWidth="1"/>
  </cols>
  <sheetData>
    <row r="1" spans="2:19" ht="17" x14ac:dyDescent="0.2">
      <c r="B1" s="15" t="s">
        <v>633</v>
      </c>
    </row>
    <row r="2" spans="2:19" x14ac:dyDescent="0.2">
      <c r="B2" s="13" t="s">
        <v>634</v>
      </c>
    </row>
    <row r="4" spans="2:19" ht="26" x14ac:dyDescent="0.2">
      <c r="B4" s="30" t="s">
        <v>618</v>
      </c>
      <c r="C4" s="17" t="s">
        <v>154</v>
      </c>
      <c r="D4" s="17" t="s">
        <v>155</v>
      </c>
      <c r="E4" s="17" t="s">
        <v>156</v>
      </c>
      <c r="F4" s="17" t="s">
        <v>157</v>
      </c>
      <c r="G4" s="17" t="s">
        <v>158</v>
      </c>
      <c r="H4" s="17" t="s">
        <v>159</v>
      </c>
      <c r="I4" s="17" t="s">
        <v>160</v>
      </c>
      <c r="J4" s="17" t="s">
        <v>161</v>
      </c>
      <c r="K4" s="17" t="s">
        <v>162</v>
      </c>
      <c r="L4" s="17" t="s">
        <v>163</v>
      </c>
      <c r="M4" s="17" t="s">
        <v>164</v>
      </c>
      <c r="N4" s="17" t="s">
        <v>165</v>
      </c>
      <c r="O4" s="17" t="s">
        <v>619</v>
      </c>
      <c r="P4" s="17" t="s">
        <v>620</v>
      </c>
      <c r="Q4" s="17" t="s">
        <v>621</v>
      </c>
      <c r="R4" s="17" t="s">
        <v>622</v>
      </c>
      <c r="S4" s="17" t="s">
        <v>623</v>
      </c>
    </row>
    <row r="5" spans="2:19" x14ac:dyDescent="0.2">
      <c r="B5" s="12" t="s">
        <v>635</v>
      </c>
      <c r="C5" s="29">
        <f>-Receita!C7*Pressupostos!C23</f>
        <v>-4313.7120999999997</v>
      </c>
      <c r="D5" s="29">
        <f>-Receita!D7*Pressupostos!C23</f>
        <v>-6026.0253000000002</v>
      </c>
      <c r="E5" s="29">
        <f>-Receita!E7*Pressupostos!C23</f>
        <v>-8298.1332000000002</v>
      </c>
      <c r="F5" s="29">
        <f>-Receita!F7*Pressupostos!C23</f>
        <v>-3161.1936000000001</v>
      </c>
      <c r="G5" s="29">
        <f>-Receita!G7*Pressupostos!C23</f>
        <v>-5038.1522999999997</v>
      </c>
      <c r="H5" s="29">
        <f>-Receita!H7*Pressupostos!C23</f>
        <v>-17287.7775</v>
      </c>
      <c r="I5" s="29">
        <f>-Receita!I7*Pressupostos!C23</f>
        <v>-8100.5586000000003</v>
      </c>
      <c r="J5" s="29">
        <f>-Receita!J7*Pressupostos!C23</f>
        <v>-12249.6252</v>
      </c>
      <c r="K5" s="29">
        <f>-Receita!K7*Pressupostos!C23</f>
        <v>-9220.1479999999992</v>
      </c>
      <c r="L5" s="29">
        <f>-Receita!L7*Pressupostos!C23</f>
        <v>-5729.6634000000004</v>
      </c>
      <c r="M5" s="29">
        <f>-Receita!M7*Pressupostos!C23</f>
        <v>-8693.2824000000001</v>
      </c>
      <c r="N5" s="29">
        <f>-Receita!N7*Pressupostos!C23</f>
        <v>-12216.696099999999</v>
      </c>
      <c r="O5" s="29">
        <f>-Receita!O7*Pressupostos!C23</f>
        <v>-100334.96769999999</v>
      </c>
      <c r="P5" s="29">
        <f>-Receita!P7*Pressupostos!C23</f>
        <v>-111782.769315</v>
      </c>
      <c r="Q5" s="29">
        <f>-Receita!Q7*Pressupostos!C23</f>
        <v>-117371.90778074999</v>
      </c>
      <c r="R5" s="29">
        <f>-Receita!R7*Pressupostos!C23</f>
        <v>-123240.50316978751</v>
      </c>
      <c r="S5" s="29">
        <f>-Receita!S7*Pressupostos!C23</f>
        <v>-129402.52832827689</v>
      </c>
    </row>
    <row r="6" spans="2:19" x14ac:dyDescent="0.2">
      <c r="B6" s="10" t="s">
        <v>636</v>
      </c>
      <c r="C6" s="35">
        <f>-Maquinas!F12</f>
        <v>-600</v>
      </c>
      <c r="D6" s="35">
        <f>-Maquinas!F12</f>
        <v>-600</v>
      </c>
      <c r="E6" s="35">
        <f>-Maquinas!F12</f>
        <v>-600</v>
      </c>
      <c r="F6" s="35">
        <f>-Maquinas!F12</f>
        <v>-600</v>
      </c>
      <c r="G6" s="35">
        <f>-Maquinas!F12</f>
        <v>-600</v>
      </c>
      <c r="H6" s="35">
        <f>-Maquinas!F12</f>
        <v>-600</v>
      </c>
      <c r="I6" s="35">
        <f>-Maquinas!F12</f>
        <v>-600</v>
      </c>
      <c r="J6" s="35">
        <f>-Maquinas!F12</f>
        <v>-600</v>
      </c>
      <c r="K6" s="35">
        <f>-Maquinas!F12</f>
        <v>-600</v>
      </c>
      <c r="L6" s="35">
        <f>-Maquinas!F12</f>
        <v>-600</v>
      </c>
      <c r="M6" s="35">
        <f>-Maquinas!F12</f>
        <v>-600</v>
      </c>
      <c r="N6" s="35">
        <f>-Maquinas!F12</f>
        <v>-600</v>
      </c>
      <c r="O6" s="38">
        <f t="shared" ref="O6:O14" si="0">SUM(C6:N6)</f>
        <v>-7200</v>
      </c>
      <c r="P6" s="35">
        <f>-Maquinas!F12*12</f>
        <v>-7200</v>
      </c>
      <c r="Q6" s="35">
        <f>-Maquinas!F12*12</f>
        <v>-7200</v>
      </c>
      <c r="R6" s="35">
        <f>-Maquinas!F12*12</f>
        <v>-7200</v>
      </c>
      <c r="S6" s="35">
        <f>-Maquinas!F12*12</f>
        <v>-7200</v>
      </c>
    </row>
    <row r="7" spans="2:19" x14ac:dyDescent="0.2">
      <c r="B7" s="10" t="s">
        <v>637</v>
      </c>
      <c r="C7" s="35">
        <f>-Maquinas!G12</f>
        <v>-700</v>
      </c>
      <c r="D7" s="35">
        <f>-Maquinas!G12</f>
        <v>-700</v>
      </c>
      <c r="E7" s="35">
        <f>-Maquinas!G12</f>
        <v>-700</v>
      </c>
      <c r="F7" s="35">
        <f>-Maquinas!G12</f>
        <v>-700</v>
      </c>
      <c r="G7" s="35">
        <f>-Maquinas!G12</f>
        <v>-700</v>
      </c>
      <c r="H7" s="35">
        <f>-Maquinas!G12</f>
        <v>-700</v>
      </c>
      <c r="I7" s="35">
        <f>-Maquinas!G12</f>
        <v>-700</v>
      </c>
      <c r="J7" s="35">
        <f>-Maquinas!G12</f>
        <v>-700</v>
      </c>
      <c r="K7" s="35">
        <f>-Maquinas!G12</f>
        <v>-700</v>
      </c>
      <c r="L7" s="35">
        <f>-Maquinas!G12</f>
        <v>-700</v>
      </c>
      <c r="M7" s="35">
        <f>-Maquinas!G12</f>
        <v>-700</v>
      </c>
      <c r="N7" s="35">
        <f>-Maquinas!G12</f>
        <v>-700</v>
      </c>
      <c r="O7" s="38">
        <f t="shared" si="0"/>
        <v>-8400</v>
      </c>
      <c r="P7" s="35">
        <f>-Maquinas!G12*12</f>
        <v>-8400</v>
      </c>
      <c r="Q7" s="35">
        <f>-Maquinas!G12*12</f>
        <v>-8400</v>
      </c>
      <c r="R7" s="35">
        <f>-Maquinas!G12*12</f>
        <v>-8400</v>
      </c>
      <c r="S7" s="35">
        <f>-Maquinas!G12*12</f>
        <v>-8400</v>
      </c>
    </row>
    <row r="8" spans="2:19" x14ac:dyDescent="0.2">
      <c r="B8" s="10" t="s">
        <v>96</v>
      </c>
      <c r="C8" s="35">
        <f>-Maquinas!H12</f>
        <v>-420</v>
      </c>
      <c r="D8" s="35">
        <f>-Maquinas!H12</f>
        <v>-420</v>
      </c>
      <c r="E8" s="35">
        <f>-Maquinas!H12</f>
        <v>-420</v>
      </c>
      <c r="F8" s="35">
        <f>-Maquinas!H12</f>
        <v>-420</v>
      </c>
      <c r="G8" s="35">
        <f>-Maquinas!H12</f>
        <v>-420</v>
      </c>
      <c r="H8" s="35">
        <f>-Maquinas!H12</f>
        <v>-420</v>
      </c>
      <c r="I8" s="35">
        <f>-Maquinas!H12</f>
        <v>-420</v>
      </c>
      <c r="J8" s="35">
        <f>-Maquinas!H12</f>
        <v>-420</v>
      </c>
      <c r="K8" s="35">
        <f>-Maquinas!H12</f>
        <v>-420</v>
      </c>
      <c r="L8" s="35">
        <f>-Maquinas!H12</f>
        <v>-420</v>
      </c>
      <c r="M8" s="35">
        <f>-Maquinas!H12</f>
        <v>-420</v>
      </c>
      <c r="N8" s="35">
        <f>-Maquinas!H12</f>
        <v>-420</v>
      </c>
      <c r="O8" s="38">
        <f t="shared" si="0"/>
        <v>-5040</v>
      </c>
      <c r="P8" s="35">
        <f>-Maquinas!H12*12</f>
        <v>-5040</v>
      </c>
      <c r="Q8" s="35">
        <f>-Maquinas!H12*12</f>
        <v>-5040</v>
      </c>
      <c r="R8" s="35">
        <f>-Maquinas!H12*12</f>
        <v>-5040</v>
      </c>
      <c r="S8" s="35">
        <f>-Maquinas!H12*12</f>
        <v>-5040</v>
      </c>
    </row>
    <row r="9" spans="2:19" x14ac:dyDescent="0.2">
      <c r="B9" s="10" t="s">
        <v>98</v>
      </c>
      <c r="C9" s="35">
        <f>-Maquinas!I12</f>
        <v>-135</v>
      </c>
      <c r="D9" s="35">
        <f>-Maquinas!I12</f>
        <v>-135</v>
      </c>
      <c r="E9" s="35">
        <f>-Maquinas!I12</f>
        <v>-135</v>
      </c>
      <c r="F9" s="35">
        <f>-Maquinas!I12</f>
        <v>-135</v>
      </c>
      <c r="G9" s="35">
        <f>-Maquinas!I12</f>
        <v>-135</v>
      </c>
      <c r="H9" s="35">
        <f>-Maquinas!I12</f>
        <v>-135</v>
      </c>
      <c r="I9" s="35">
        <f>-Maquinas!I12</f>
        <v>-135</v>
      </c>
      <c r="J9" s="35">
        <f>-Maquinas!I12</f>
        <v>-135</v>
      </c>
      <c r="K9" s="35">
        <f>-Maquinas!I12</f>
        <v>-135</v>
      </c>
      <c r="L9" s="35">
        <f>-Maquinas!I12</f>
        <v>-135</v>
      </c>
      <c r="M9" s="35">
        <f>-Maquinas!I12</f>
        <v>-135</v>
      </c>
      <c r="N9" s="35">
        <f>-Maquinas!I12</f>
        <v>-135</v>
      </c>
      <c r="O9" s="38">
        <f t="shared" si="0"/>
        <v>-1620</v>
      </c>
      <c r="P9" s="35">
        <f>-Maquinas!I12*12</f>
        <v>-1620</v>
      </c>
      <c r="Q9" s="35">
        <f>-Maquinas!I12*12</f>
        <v>-1620</v>
      </c>
      <c r="R9" s="35">
        <f>-Maquinas!I12*12</f>
        <v>-1620</v>
      </c>
      <c r="S9" s="35">
        <f>-Maquinas!I12*12</f>
        <v>-1620</v>
      </c>
    </row>
    <row r="10" spans="2:19" x14ac:dyDescent="0.2">
      <c r="B10" s="10" t="s">
        <v>638</v>
      </c>
      <c r="C10" s="35">
        <f>-Maquinas!J12</f>
        <v>-81</v>
      </c>
      <c r="D10" s="35">
        <f>-Maquinas!J12</f>
        <v>-81</v>
      </c>
      <c r="E10" s="35">
        <f>-Maquinas!J12</f>
        <v>-81</v>
      </c>
      <c r="F10" s="35">
        <f>-Maquinas!J12</f>
        <v>-81</v>
      </c>
      <c r="G10" s="35">
        <f>-Maquinas!J12</f>
        <v>-81</v>
      </c>
      <c r="H10" s="35">
        <f>-Maquinas!J12</f>
        <v>-81</v>
      </c>
      <c r="I10" s="35">
        <f>-Maquinas!J12</f>
        <v>-81</v>
      </c>
      <c r="J10" s="35">
        <f>-Maquinas!J12</f>
        <v>-81</v>
      </c>
      <c r="K10" s="35">
        <f>-Maquinas!J12</f>
        <v>-81</v>
      </c>
      <c r="L10" s="35">
        <f>-Maquinas!J12</f>
        <v>-81</v>
      </c>
      <c r="M10" s="35">
        <f>-Maquinas!J12</f>
        <v>-81</v>
      </c>
      <c r="N10" s="35">
        <f>-Maquinas!J12</f>
        <v>-81</v>
      </c>
      <c r="O10" s="38">
        <f t="shared" si="0"/>
        <v>-972</v>
      </c>
      <c r="P10" s="35">
        <f>-Maquinas!J12*12</f>
        <v>-972</v>
      </c>
      <c r="Q10" s="35">
        <f>-Maquinas!J12*12</f>
        <v>-972</v>
      </c>
      <c r="R10" s="35">
        <f>-Maquinas!J12*12</f>
        <v>-972</v>
      </c>
      <c r="S10" s="35">
        <f>-Maquinas!J12*12</f>
        <v>-972</v>
      </c>
    </row>
    <row r="11" spans="2:19" x14ac:dyDescent="0.2">
      <c r="B11" s="10" t="s">
        <v>101</v>
      </c>
      <c r="C11" s="35">
        <f>-Maquinas!K12</f>
        <v>-240</v>
      </c>
      <c r="D11" s="35">
        <f>-Maquinas!K12</f>
        <v>-240</v>
      </c>
      <c r="E11" s="35">
        <f>-Maquinas!K12</f>
        <v>-240</v>
      </c>
      <c r="F11" s="35">
        <f>-Maquinas!K12</f>
        <v>-240</v>
      </c>
      <c r="G11" s="35">
        <f>-Maquinas!K12</f>
        <v>-240</v>
      </c>
      <c r="H11" s="35">
        <f>-Maquinas!K12</f>
        <v>-240</v>
      </c>
      <c r="I11" s="35">
        <f>-Maquinas!K12</f>
        <v>-240</v>
      </c>
      <c r="J11" s="35">
        <f>-Maquinas!K12</f>
        <v>-240</v>
      </c>
      <c r="K11" s="35">
        <f>-Maquinas!K12</f>
        <v>-240</v>
      </c>
      <c r="L11" s="35">
        <f>-Maquinas!K12</f>
        <v>-240</v>
      </c>
      <c r="M11" s="35">
        <f>-Maquinas!K12</f>
        <v>-240</v>
      </c>
      <c r="N11" s="35">
        <f>-Maquinas!K12</f>
        <v>-240</v>
      </c>
      <c r="O11" s="38">
        <f t="shared" si="0"/>
        <v>-2880</v>
      </c>
      <c r="P11" s="35">
        <f>-Maquinas!K12*12</f>
        <v>-2880</v>
      </c>
      <c r="Q11" s="35">
        <f>-Maquinas!K12*12</f>
        <v>-2880</v>
      </c>
      <c r="R11" s="35">
        <f>-Maquinas!K12*12</f>
        <v>-2880</v>
      </c>
      <c r="S11" s="35">
        <f>-Maquinas!K12*12</f>
        <v>-2880</v>
      </c>
    </row>
    <row r="12" spans="2:19" x14ac:dyDescent="0.2">
      <c r="B12" s="10" t="s">
        <v>104</v>
      </c>
      <c r="C12" s="38">
        <f>-(Pressupostos!C37)</f>
        <v>-150</v>
      </c>
      <c r="D12" s="38">
        <f>-(Pressupostos!C37)</f>
        <v>-150</v>
      </c>
      <c r="E12" s="38">
        <f>-(Pressupostos!C37)</f>
        <v>-150</v>
      </c>
      <c r="F12" s="38">
        <f>-(Pressupostos!C37)</f>
        <v>-150</v>
      </c>
      <c r="G12" s="38">
        <f>-(Pressupostos!C37)</f>
        <v>-150</v>
      </c>
      <c r="H12" s="38">
        <f>-(Pressupostos!C37)</f>
        <v>-150</v>
      </c>
      <c r="I12" s="38">
        <f>-(Pressupostos!C37)</f>
        <v>-150</v>
      </c>
      <c r="J12" s="38">
        <f>-(Pressupostos!C37)</f>
        <v>-150</v>
      </c>
      <c r="K12" s="38">
        <f>-(Pressupostos!C37)</f>
        <v>-150</v>
      </c>
      <c r="L12" s="38">
        <f>-(Pressupostos!C37)</f>
        <v>-150</v>
      </c>
      <c r="M12" s="38">
        <f>-(Pressupostos!C37)</f>
        <v>-150</v>
      </c>
      <c r="N12" s="38">
        <f>-(Pressupostos!C37)</f>
        <v>-150</v>
      </c>
      <c r="O12" s="38">
        <f t="shared" si="0"/>
        <v>-1800</v>
      </c>
      <c r="P12" s="38">
        <f>-(Pressupostos!C37)*12</f>
        <v>-1800</v>
      </c>
      <c r="Q12" s="38">
        <f>-(Pressupostos!C37)*12</f>
        <v>-1800</v>
      </c>
      <c r="R12" s="38">
        <f>-(Pressupostos!C37)*12</f>
        <v>-1800</v>
      </c>
      <c r="S12" s="38">
        <f>-(Pressupostos!C37)*12</f>
        <v>-1800</v>
      </c>
    </row>
    <row r="13" spans="2:19" x14ac:dyDescent="0.2">
      <c r="B13" s="10" t="s">
        <v>639</v>
      </c>
      <c r="C13" s="38">
        <f>-(Pressupostos!C38)</f>
        <v>-100</v>
      </c>
      <c r="D13" s="38">
        <f>-(Pressupostos!C38)</f>
        <v>-100</v>
      </c>
      <c r="E13" s="38">
        <f>-(Pressupostos!C38)</f>
        <v>-100</v>
      </c>
      <c r="F13" s="38">
        <f>-(Pressupostos!C38)</f>
        <v>-100</v>
      </c>
      <c r="G13" s="38">
        <f>-(Pressupostos!C38)</f>
        <v>-100</v>
      </c>
      <c r="H13" s="38">
        <f>-(Pressupostos!C38)</f>
        <v>-100</v>
      </c>
      <c r="I13" s="38">
        <f>-(Pressupostos!C38)</f>
        <v>-100</v>
      </c>
      <c r="J13" s="38">
        <f>-(Pressupostos!C38)</f>
        <v>-100</v>
      </c>
      <c r="K13" s="38">
        <f>-(Pressupostos!C38)</f>
        <v>-100</v>
      </c>
      <c r="L13" s="38">
        <f>-(Pressupostos!C38)</f>
        <v>-100</v>
      </c>
      <c r="M13" s="38">
        <f>-(Pressupostos!C38)</f>
        <v>-100</v>
      </c>
      <c r="N13" s="38">
        <f>-(Pressupostos!C38)</f>
        <v>-100</v>
      </c>
      <c r="O13" s="38">
        <f t="shared" si="0"/>
        <v>-1200</v>
      </c>
      <c r="P13" s="38">
        <f>-(Pressupostos!C38)*12</f>
        <v>-1200</v>
      </c>
      <c r="Q13" s="38">
        <f>-(Pressupostos!C38)*12</f>
        <v>-1200</v>
      </c>
      <c r="R13" s="38">
        <f>-(Pressupostos!C38)*12</f>
        <v>-1200</v>
      </c>
      <c r="S13" s="38">
        <f>-(Pressupostos!C38)*12</f>
        <v>-1200</v>
      </c>
    </row>
    <row r="14" spans="2:19" x14ac:dyDescent="0.2">
      <c r="B14" s="10" t="s">
        <v>640</v>
      </c>
      <c r="C14" s="38">
        <f>-(Pressupostos!C39)</f>
        <v>-150</v>
      </c>
      <c r="D14" s="38">
        <f>-(Pressupostos!C39)</f>
        <v>-150</v>
      </c>
      <c r="E14" s="38">
        <f>-(Pressupostos!C39)</f>
        <v>-150</v>
      </c>
      <c r="F14" s="38">
        <f>-(Pressupostos!C39)</f>
        <v>-150</v>
      </c>
      <c r="G14" s="38">
        <f>-(Pressupostos!C39)</f>
        <v>-150</v>
      </c>
      <c r="H14" s="38">
        <f>-(Pressupostos!C39)</f>
        <v>-150</v>
      </c>
      <c r="I14" s="38">
        <f>-(Pressupostos!C39)</f>
        <v>-150</v>
      </c>
      <c r="J14" s="38">
        <f>-(Pressupostos!C39)</f>
        <v>-150</v>
      </c>
      <c r="K14" s="38">
        <f>-(Pressupostos!C39)</f>
        <v>-150</v>
      </c>
      <c r="L14" s="38">
        <f>-(Pressupostos!C39)</f>
        <v>-150</v>
      </c>
      <c r="M14" s="38">
        <f>-(Pressupostos!C39)</f>
        <v>-150</v>
      </c>
      <c r="N14" s="38">
        <f>-(Pressupostos!C39)</f>
        <v>-150</v>
      </c>
      <c r="O14" s="38">
        <f t="shared" si="0"/>
        <v>-1800</v>
      </c>
      <c r="P14" s="38">
        <f>-(Pressupostos!C39)*12</f>
        <v>-1800</v>
      </c>
      <c r="Q14" s="38">
        <f>-(Pressupostos!C39)*12</f>
        <v>-1800</v>
      </c>
      <c r="R14" s="38">
        <f>-(Pressupostos!C39)*12</f>
        <v>-1800</v>
      </c>
      <c r="S14" s="38">
        <f>-(Pressupostos!C39)*12</f>
        <v>-1800</v>
      </c>
    </row>
    <row r="15" spans="2:19" x14ac:dyDescent="0.2">
      <c r="B15" s="10" t="s">
        <v>641</v>
      </c>
      <c r="C15" s="35">
        <f>-SUMIFS(Eventos!$O$5:$O$116,Eventos!$E$5:$E$116,1)</f>
        <v>-1900</v>
      </c>
      <c r="D15" s="35">
        <f>-SUMIFS(Eventos!$O$5:$O$116,Eventos!$E$5:$E$116,2)</f>
        <v>-1640</v>
      </c>
      <c r="E15" s="35">
        <f>-SUMIFS(Eventos!$O$5:$O$116,Eventos!$E$5:$E$116,3)</f>
        <v>-1900</v>
      </c>
      <c r="F15" s="35">
        <f>-SUMIFS(Eventos!$O$5:$O$116,Eventos!$E$5:$E$116,4)</f>
        <v>0</v>
      </c>
      <c r="G15" s="35">
        <f>-SUMIFS(Eventos!$O$5:$O$116,Eventos!$E$5:$E$116,5)</f>
        <v>-520</v>
      </c>
      <c r="H15" s="35">
        <f>-SUMIFS(Eventos!$O$5:$O$116,Eventos!$E$5:$E$116,6)</f>
        <v>-5990</v>
      </c>
      <c r="I15" s="35">
        <f>-SUMIFS(Eventos!$O$5:$O$116,Eventos!$E$5:$E$116,7)</f>
        <v>-3710</v>
      </c>
      <c r="J15" s="35">
        <f>-SUMIFS(Eventos!$O$5:$O$116,Eventos!$E$5:$E$116,8)</f>
        <v>-4250</v>
      </c>
      <c r="K15" s="35">
        <f>-SUMIFS(Eventos!$O$5:$O$116,Eventos!$E$5:$E$116,9)</f>
        <v>-5530</v>
      </c>
      <c r="L15" s="35">
        <f>-SUMIFS(Eventos!$O$5:$O$116,Eventos!$E$5:$E$116,10)</f>
        <v>-1110</v>
      </c>
      <c r="M15" s="35">
        <f>-SUMIFS(Eventos!$O$5:$O$116,Eventos!$E$5:$E$116,11)</f>
        <v>-1180</v>
      </c>
      <c r="N15" s="35">
        <f>-SUMIFS(Eventos!$O$5:$O$116,Eventos!$E$5:$E$116,12)</f>
        <v>-3750</v>
      </c>
      <c r="O15" s="35">
        <f>-Eventos!O122</f>
        <v>-31480</v>
      </c>
      <c r="P15" s="35">
        <f>-Eventos!O122</f>
        <v>-31480</v>
      </c>
      <c r="Q15" s="35">
        <f>-Eventos!O122</f>
        <v>-31480</v>
      </c>
      <c r="R15" s="35">
        <f>-Eventos!O122</f>
        <v>-31480</v>
      </c>
      <c r="S15" s="35">
        <f>-Eventos!O122</f>
        <v>-31480</v>
      </c>
    </row>
    <row r="16" spans="2:19" x14ac:dyDescent="0.2">
      <c r="B16" s="10" t="s">
        <v>642</v>
      </c>
      <c r="C16" s="35">
        <f>-SUMIFS(Eventos!$H$5:$H$116,Eventos!$E$5:$E$116,1,Eventos!$M$5:$M$116,1)*Pressupostos!C43</f>
        <v>-990</v>
      </c>
      <c r="D16" s="35">
        <f>-SUMIFS(Eventos!$H$5:$H$116,Eventos!$E$5:$E$116,2,Eventos!$M$5:$M$116,1)*Pressupostos!C43</f>
        <v>-450</v>
      </c>
      <c r="E16" s="35">
        <f>-SUMIFS(Eventos!$H$5:$H$116,Eventos!$E$5:$E$116,3,Eventos!$M$5:$M$116,1)*Pressupostos!C43</f>
        <v>-1260</v>
      </c>
      <c r="F16" s="35">
        <f>-SUMIFS(Eventos!$H$5:$H$116,Eventos!$E$5:$E$116,4,Eventos!$M$5:$M$116,1)*Pressupostos!C43</f>
        <v>0</v>
      </c>
      <c r="G16" s="35">
        <f>-SUMIFS(Eventos!$H$5:$H$116,Eventos!$E$5:$E$116,5,Eventos!$M$5:$M$116,1)*Pressupostos!C43</f>
        <v>-450</v>
      </c>
      <c r="H16" s="35">
        <f>-SUMIFS(Eventos!$H$5:$H$116,Eventos!$E$5:$E$116,6,Eventos!$M$5:$M$116,1)*Pressupostos!C43</f>
        <v>-2070</v>
      </c>
      <c r="I16" s="35">
        <f>-SUMIFS(Eventos!$H$5:$H$116,Eventos!$E$5:$E$116,7,Eventos!$M$5:$M$116,1)*Pressupostos!C43</f>
        <v>-630</v>
      </c>
      <c r="J16" s="35">
        <f>-SUMIFS(Eventos!$H$5:$H$116,Eventos!$E$5:$E$116,8,Eventos!$M$5:$M$116,1)*Pressupostos!C43</f>
        <v>-1170</v>
      </c>
      <c r="K16" s="35">
        <f>-SUMIFS(Eventos!$H$5:$H$116,Eventos!$E$5:$E$116,9,Eventos!$M$5:$M$116,1)*Pressupostos!C43</f>
        <v>-720</v>
      </c>
      <c r="L16" s="35">
        <f>-SUMIFS(Eventos!$H$5:$H$116,Eventos!$E$5:$E$116,10,Eventos!$M$5:$M$116,1)*Pressupostos!C43</f>
        <v>-360</v>
      </c>
      <c r="M16" s="35">
        <f>-SUMIFS(Eventos!$H$5:$H$116,Eventos!$E$5:$E$116,11,Eventos!$M$5:$M$116,1)*Pressupostos!C43</f>
        <v>-900</v>
      </c>
      <c r="N16" s="35">
        <f>-SUMIFS(Eventos!$H$5:$H$116,Eventos!$E$5:$E$116,12,Eventos!$M$5:$M$116,1)*Pressupostos!C43</f>
        <v>-1440</v>
      </c>
      <c r="O16" s="35">
        <f>-Eventos!H120*Pressupostos!C43</f>
        <v>-11160</v>
      </c>
      <c r="P16" s="35">
        <f>-Eventos!H120*Pressupostos!C43</f>
        <v>-11160</v>
      </c>
      <c r="Q16" s="35">
        <f>-Eventos!H120*Pressupostos!C43</f>
        <v>-11160</v>
      </c>
      <c r="R16" s="35">
        <f>-Eventos!H120*Pressupostos!C43</f>
        <v>-11160</v>
      </c>
      <c r="S16" s="35">
        <f>-Eventos!H120*Pressupostos!C43</f>
        <v>-11160</v>
      </c>
    </row>
    <row r="17" spans="2:19" x14ac:dyDescent="0.2">
      <c r="B17" s="61" t="s">
        <v>643</v>
      </c>
      <c r="C17" s="36">
        <f t="shared" ref="C17:S17" si="1">SUM(C6:C16)</f>
        <v>-5466</v>
      </c>
      <c r="D17" s="36">
        <f t="shared" si="1"/>
        <v>-4666</v>
      </c>
      <c r="E17" s="36">
        <f t="shared" si="1"/>
        <v>-5736</v>
      </c>
      <c r="F17" s="36">
        <f t="shared" si="1"/>
        <v>-2576</v>
      </c>
      <c r="G17" s="36">
        <f t="shared" si="1"/>
        <v>-3546</v>
      </c>
      <c r="H17" s="36">
        <f t="shared" si="1"/>
        <v>-10636</v>
      </c>
      <c r="I17" s="36">
        <f t="shared" si="1"/>
        <v>-6916</v>
      </c>
      <c r="J17" s="36">
        <f t="shared" si="1"/>
        <v>-7996</v>
      </c>
      <c r="K17" s="36">
        <f t="shared" si="1"/>
        <v>-8826</v>
      </c>
      <c r="L17" s="36">
        <f t="shared" si="1"/>
        <v>-4046</v>
      </c>
      <c r="M17" s="36">
        <f t="shared" si="1"/>
        <v>-4656</v>
      </c>
      <c r="N17" s="36">
        <f t="shared" si="1"/>
        <v>-7766</v>
      </c>
      <c r="O17" s="36">
        <f t="shared" si="1"/>
        <v>-73552</v>
      </c>
      <c r="P17" s="36">
        <f t="shared" si="1"/>
        <v>-73552</v>
      </c>
      <c r="Q17" s="36">
        <f t="shared" si="1"/>
        <v>-73552</v>
      </c>
      <c r="R17" s="36">
        <f t="shared" si="1"/>
        <v>-73552</v>
      </c>
      <c r="S17" s="36">
        <f t="shared" si="1"/>
        <v>-73552</v>
      </c>
    </row>
    <row r="18" spans="2:19" x14ac:dyDescent="0.2">
      <c r="B18" s="61" t="s">
        <v>644</v>
      </c>
      <c r="C18" s="62">
        <f t="shared" ref="C18:S18" si="2">C5+C17</f>
        <v>-9779.7121000000006</v>
      </c>
      <c r="D18" s="62">
        <f t="shared" si="2"/>
        <v>-10692.025300000001</v>
      </c>
      <c r="E18" s="62">
        <f t="shared" si="2"/>
        <v>-14034.1332</v>
      </c>
      <c r="F18" s="62">
        <f t="shared" si="2"/>
        <v>-5737.1936000000005</v>
      </c>
      <c r="G18" s="62">
        <f t="shared" si="2"/>
        <v>-8584.1522999999997</v>
      </c>
      <c r="H18" s="62">
        <f t="shared" si="2"/>
        <v>-27923.7775</v>
      </c>
      <c r="I18" s="62">
        <f t="shared" si="2"/>
        <v>-15016.5586</v>
      </c>
      <c r="J18" s="62">
        <f t="shared" si="2"/>
        <v>-20245.625200000002</v>
      </c>
      <c r="K18" s="62">
        <f t="shared" si="2"/>
        <v>-18046.148000000001</v>
      </c>
      <c r="L18" s="62">
        <f t="shared" si="2"/>
        <v>-9775.6634000000013</v>
      </c>
      <c r="M18" s="62">
        <f t="shared" si="2"/>
        <v>-13349.2824</v>
      </c>
      <c r="N18" s="62">
        <f t="shared" si="2"/>
        <v>-19982.696100000001</v>
      </c>
      <c r="O18" s="62">
        <f t="shared" si="2"/>
        <v>-173886.96769999998</v>
      </c>
      <c r="P18" s="62">
        <f t="shared" si="2"/>
        <v>-185334.76931499998</v>
      </c>
      <c r="Q18" s="62">
        <f t="shared" si="2"/>
        <v>-190923.90778074999</v>
      </c>
      <c r="R18" s="62">
        <f t="shared" si="2"/>
        <v>-196792.50316978752</v>
      </c>
      <c r="S18" s="62">
        <f t="shared" si="2"/>
        <v>-202954.52832827688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S16"/>
  <sheetViews>
    <sheetView showGridLines="0" topLeftCell="I3" zoomScale="150"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14" width="9.5" customWidth="1"/>
    <col min="15" max="19" width="11" customWidth="1"/>
  </cols>
  <sheetData>
    <row r="1" spans="2:19" ht="17" x14ac:dyDescent="0.2">
      <c r="B1" s="15" t="s">
        <v>645</v>
      </c>
    </row>
    <row r="4" spans="2:19" ht="26" x14ac:dyDescent="0.2">
      <c r="B4" s="30" t="s">
        <v>618</v>
      </c>
      <c r="C4" s="17" t="s">
        <v>154</v>
      </c>
      <c r="D4" s="17" t="s">
        <v>155</v>
      </c>
      <c r="E4" s="17" t="s">
        <v>156</v>
      </c>
      <c r="F4" s="17" t="s">
        <v>157</v>
      </c>
      <c r="G4" s="17" t="s">
        <v>158</v>
      </c>
      <c r="H4" s="17" t="s">
        <v>159</v>
      </c>
      <c r="I4" s="17" t="s">
        <v>160</v>
      </c>
      <c r="J4" s="17" t="s">
        <v>161</v>
      </c>
      <c r="K4" s="17" t="s">
        <v>162</v>
      </c>
      <c r="L4" s="17" t="s">
        <v>163</v>
      </c>
      <c r="M4" s="17" t="s">
        <v>164</v>
      </c>
      <c r="N4" s="17" t="s">
        <v>165</v>
      </c>
      <c r="O4" s="17" t="s">
        <v>619</v>
      </c>
      <c r="P4" s="17" t="s">
        <v>620</v>
      </c>
      <c r="Q4" s="17" t="s">
        <v>621</v>
      </c>
      <c r="R4" s="17" t="s">
        <v>622</v>
      </c>
      <c r="S4" s="17" t="s">
        <v>623</v>
      </c>
    </row>
    <row r="5" spans="2:19" x14ac:dyDescent="0.2">
      <c r="B5" s="12" t="s">
        <v>646</v>
      </c>
      <c r="C5" s="63">
        <f>Receita!C13</f>
        <v>11396.420353982301</v>
      </c>
      <c r="D5" s="63">
        <f>Receita!D13</f>
        <v>15920.190265486726</v>
      </c>
      <c r="E5" s="63">
        <f>Receita!E13</f>
        <v>21922.884955752212</v>
      </c>
      <c r="F5" s="63">
        <f>Receita!F13</f>
        <v>8351.575221238938</v>
      </c>
      <c r="G5" s="63">
        <f>Receita!G13</f>
        <v>13310.323008849557</v>
      </c>
      <c r="H5" s="63">
        <f>Receita!H13</f>
        <v>45672.676991150438</v>
      </c>
      <c r="I5" s="63">
        <f>Receita!I13</f>
        <v>21400.911504424777</v>
      </c>
      <c r="J5" s="63">
        <f>Receita!J13</f>
        <v>32362.353982300883</v>
      </c>
      <c r="K5" s="63">
        <f>Receita!K13</f>
        <v>24358.761061946901</v>
      </c>
      <c r="L5" s="63">
        <f>Receita!L13</f>
        <v>15137.230088495575</v>
      </c>
      <c r="M5" s="63">
        <f>Receita!M13</f>
        <v>22966.83185840708</v>
      </c>
      <c r="N5" s="63">
        <f>Receita!N13</f>
        <v>32275.35840707965</v>
      </c>
      <c r="O5" s="63">
        <f>Receita!O13</f>
        <v>265075.51769911504</v>
      </c>
      <c r="P5" s="63">
        <f>Receita!P13</f>
        <v>295319.52942477877</v>
      </c>
      <c r="Q5" s="63">
        <f>Receita!Q13</f>
        <v>310085.50589601771</v>
      </c>
      <c r="R5" s="63">
        <f>Receita!R13</f>
        <v>325589.78119081852</v>
      </c>
      <c r="S5" s="63">
        <f>Receita!S13</f>
        <v>341869.27025035955</v>
      </c>
    </row>
    <row r="6" spans="2:19" x14ac:dyDescent="0.2">
      <c r="B6" s="10" t="s">
        <v>647</v>
      </c>
      <c r="C6" s="35">
        <f>Custos!C5</f>
        <v>-4313.7120999999997</v>
      </c>
      <c r="D6" s="35">
        <f>Custos!D5</f>
        <v>-6026.0253000000002</v>
      </c>
      <c r="E6" s="35">
        <f>Custos!E5</f>
        <v>-8298.1332000000002</v>
      </c>
      <c r="F6" s="35">
        <f>Custos!F5</f>
        <v>-3161.1936000000001</v>
      </c>
      <c r="G6" s="35">
        <f>Custos!G5</f>
        <v>-5038.1522999999997</v>
      </c>
      <c r="H6" s="35">
        <f>Custos!H5</f>
        <v>-17287.7775</v>
      </c>
      <c r="I6" s="35">
        <f>Custos!I5</f>
        <v>-8100.5586000000003</v>
      </c>
      <c r="J6" s="35">
        <f>Custos!J5</f>
        <v>-12249.6252</v>
      </c>
      <c r="K6" s="35">
        <f>Custos!K5</f>
        <v>-9220.1479999999992</v>
      </c>
      <c r="L6" s="35">
        <f>Custos!L5</f>
        <v>-5729.6634000000004</v>
      </c>
      <c r="M6" s="35">
        <f>Custos!M5</f>
        <v>-8693.2824000000001</v>
      </c>
      <c r="N6" s="35">
        <f>Custos!N5</f>
        <v>-12216.696099999999</v>
      </c>
      <c r="O6" s="35">
        <f>Custos!O5</f>
        <v>-100334.96769999999</v>
      </c>
      <c r="P6" s="35">
        <f>Custos!P5</f>
        <v>-111782.769315</v>
      </c>
      <c r="Q6" s="35">
        <f>Custos!Q5</f>
        <v>-117371.90778074999</v>
      </c>
      <c r="R6" s="35">
        <f>Custos!R5</f>
        <v>-123240.50316978751</v>
      </c>
      <c r="S6" s="35">
        <f>Custos!S5</f>
        <v>-129402.52832827689</v>
      </c>
    </row>
    <row r="7" spans="2:19" x14ac:dyDescent="0.2">
      <c r="B7" s="12" t="s">
        <v>648</v>
      </c>
      <c r="C7" s="29">
        <f t="shared" ref="C7:S7" si="0">C5+C6</f>
        <v>7082.7082539823014</v>
      </c>
      <c r="D7" s="29">
        <f t="shared" si="0"/>
        <v>9894.1649654867251</v>
      </c>
      <c r="E7" s="29">
        <f t="shared" si="0"/>
        <v>13624.751755752211</v>
      </c>
      <c r="F7" s="29">
        <f t="shared" si="0"/>
        <v>5190.3816212389374</v>
      </c>
      <c r="G7" s="29">
        <f t="shared" si="0"/>
        <v>8272.1707088495568</v>
      </c>
      <c r="H7" s="29">
        <f t="shared" si="0"/>
        <v>28384.899491150438</v>
      </c>
      <c r="I7" s="29">
        <f t="shared" si="0"/>
        <v>13300.352904424777</v>
      </c>
      <c r="J7" s="29">
        <f t="shared" si="0"/>
        <v>20112.728782300881</v>
      </c>
      <c r="K7" s="29">
        <f t="shared" si="0"/>
        <v>15138.613061946902</v>
      </c>
      <c r="L7" s="29">
        <f t="shared" si="0"/>
        <v>9407.5666884955754</v>
      </c>
      <c r="M7" s="29">
        <f t="shared" si="0"/>
        <v>14273.54945840708</v>
      </c>
      <c r="N7" s="29">
        <f t="shared" si="0"/>
        <v>20058.662307079649</v>
      </c>
      <c r="O7" s="29">
        <f t="shared" si="0"/>
        <v>164740.54999911506</v>
      </c>
      <c r="P7" s="29">
        <f t="shared" si="0"/>
        <v>183536.76010977878</v>
      </c>
      <c r="Q7" s="29">
        <f t="shared" si="0"/>
        <v>192713.59811526773</v>
      </c>
      <c r="R7" s="29">
        <f t="shared" si="0"/>
        <v>202349.278021031</v>
      </c>
      <c r="S7" s="29">
        <f t="shared" si="0"/>
        <v>212466.74192208267</v>
      </c>
    </row>
    <row r="8" spans="2:19" x14ac:dyDescent="0.2">
      <c r="B8" s="10" t="s">
        <v>649</v>
      </c>
      <c r="C8" s="35">
        <f>Custos!C17</f>
        <v>-5466</v>
      </c>
      <c r="D8" s="35">
        <f>Custos!D17</f>
        <v>-4666</v>
      </c>
      <c r="E8" s="35">
        <f>Custos!E17</f>
        <v>-5736</v>
      </c>
      <c r="F8" s="35">
        <f>Custos!F17</f>
        <v>-2576</v>
      </c>
      <c r="G8" s="35">
        <f>Custos!G17</f>
        <v>-3546</v>
      </c>
      <c r="H8" s="35">
        <f>Custos!H17</f>
        <v>-10636</v>
      </c>
      <c r="I8" s="35">
        <f>Custos!I17</f>
        <v>-6916</v>
      </c>
      <c r="J8" s="35">
        <f>Custos!J17</f>
        <v>-7996</v>
      </c>
      <c r="K8" s="35">
        <f>Custos!K17</f>
        <v>-8826</v>
      </c>
      <c r="L8" s="35">
        <f>Custos!L17</f>
        <v>-4046</v>
      </c>
      <c r="M8" s="35">
        <f>Custos!M17</f>
        <v>-4656</v>
      </c>
      <c r="N8" s="35">
        <f>Custos!N17</f>
        <v>-7766</v>
      </c>
      <c r="O8" s="35">
        <f>Custos!O17</f>
        <v>-73552</v>
      </c>
      <c r="P8" s="35">
        <f>Custos!P17</f>
        <v>-73552</v>
      </c>
      <c r="Q8" s="35">
        <f>Custos!Q17</f>
        <v>-73552</v>
      </c>
      <c r="R8" s="35">
        <f>Custos!R17</f>
        <v>-73552</v>
      </c>
      <c r="S8" s="35">
        <f>Custos!S17</f>
        <v>-73552</v>
      </c>
    </row>
    <row r="9" spans="2:19" x14ac:dyDescent="0.2">
      <c r="B9" s="61" t="s">
        <v>650</v>
      </c>
      <c r="C9" s="62">
        <f t="shared" ref="C9:S9" si="1">C7+C8</f>
        <v>1616.7082539823014</v>
      </c>
      <c r="D9" s="62">
        <f t="shared" si="1"/>
        <v>5228.1649654867251</v>
      </c>
      <c r="E9" s="62">
        <f t="shared" si="1"/>
        <v>7888.7517557522115</v>
      </c>
      <c r="F9" s="62">
        <f t="shared" si="1"/>
        <v>2614.3816212389374</v>
      </c>
      <c r="G9" s="62">
        <f t="shared" si="1"/>
        <v>4726.1707088495568</v>
      </c>
      <c r="H9" s="62">
        <f t="shared" si="1"/>
        <v>17748.899491150438</v>
      </c>
      <c r="I9" s="62">
        <f t="shared" si="1"/>
        <v>6384.3529044247771</v>
      </c>
      <c r="J9" s="62">
        <f t="shared" si="1"/>
        <v>12116.728782300881</v>
      </c>
      <c r="K9" s="62">
        <f t="shared" si="1"/>
        <v>6312.6130619469022</v>
      </c>
      <c r="L9" s="62">
        <f t="shared" si="1"/>
        <v>5361.5666884955754</v>
      </c>
      <c r="M9" s="62">
        <f t="shared" si="1"/>
        <v>9617.5494584070802</v>
      </c>
      <c r="N9" s="62">
        <f t="shared" si="1"/>
        <v>12292.662307079649</v>
      </c>
      <c r="O9" s="62">
        <f t="shared" si="1"/>
        <v>91188.549999115057</v>
      </c>
      <c r="P9" s="62">
        <f t="shared" si="1"/>
        <v>109984.76010977878</v>
      </c>
      <c r="Q9" s="62">
        <f t="shared" si="1"/>
        <v>119161.59811526773</v>
      </c>
      <c r="R9" s="62">
        <f t="shared" si="1"/>
        <v>128797.278021031</v>
      </c>
      <c r="S9" s="62">
        <f t="shared" si="1"/>
        <v>138914.74192208267</v>
      </c>
    </row>
    <row r="10" spans="2:19" x14ac:dyDescent="0.2">
      <c r="B10" s="10" t="s">
        <v>651</v>
      </c>
      <c r="C10" s="64">
        <f t="shared" ref="C10:S10" si="2">IF(C5=0,0,C9/C5)</f>
        <v>0.14186105845221547</v>
      </c>
      <c r="D10" s="64">
        <f t="shared" si="2"/>
        <v>0.32839839714860874</v>
      </c>
      <c r="E10" s="64">
        <f t="shared" si="2"/>
        <v>0.35984095029802771</v>
      </c>
      <c r="F10" s="64">
        <f t="shared" si="2"/>
        <v>0.31304054049471874</v>
      </c>
      <c r="G10" s="64">
        <f t="shared" si="2"/>
        <v>0.35507558349315005</v>
      </c>
      <c r="H10" s="64">
        <f t="shared" si="2"/>
        <v>0.38861088642974606</v>
      </c>
      <c r="I10" s="64">
        <f t="shared" si="2"/>
        <v>0.29832154126261262</v>
      </c>
      <c r="J10" s="64">
        <f t="shared" si="2"/>
        <v>0.37440814067257205</v>
      </c>
      <c r="K10" s="64">
        <f t="shared" si="2"/>
        <v>0.25915164756915432</v>
      </c>
      <c r="L10" s="64">
        <f t="shared" si="2"/>
        <v>0.35419734371154288</v>
      </c>
      <c r="M10" s="64">
        <f t="shared" si="2"/>
        <v>0.41875821261287921</v>
      </c>
      <c r="N10" s="64">
        <f t="shared" si="2"/>
        <v>0.38086834395565483</v>
      </c>
      <c r="O10" s="64">
        <f t="shared" si="2"/>
        <v>0.34400970255813063</v>
      </c>
      <c r="P10" s="64">
        <f t="shared" si="2"/>
        <v>0.37242630151824468</v>
      </c>
      <c r="Q10" s="64">
        <f t="shared" si="2"/>
        <v>0.384286256047152</v>
      </c>
      <c r="R10" s="64">
        <f t="shared" si="2"/>
        <v>0.3955814508365873</v>
      </c>
      <c r="S10" s="64">
        <f t="shared" si="2"/>
        <v>0.40633877920747857</v>
      </c>
    </row>
    <row r="11" spans="2:19" x14ac:dyDescent="0.2">
      <c r="B11" s="10" t="s">
        <v>652</v>
      </c>
      <c r="C11" s="38">
        <f>-Pressupostos!C69/12</f>
        <v>-1387.5</v>
      </c>
      <c r="D11" s="38">
        <f>-Pressupostos!C69/12</f>
        <v>-1387.5</v>
      </c>
      <c r="E11" s="38">
        <f>-Pressupostos!C69/12</f>
        <v>-1387.5</v>
      </c>
      <c r="F11" s="38">
        <f>-Pressupostos!C69/12</f>
        <v>-1387.5</v>
      </c>
      <c r="G11" s="38">
        <f>-Pressupostos!C69/12</f>
        <v>-1387.5</v>
      </c>
      <c r="H11" s="38">
        <f>-Pressupostos!C69/12</f>
        <v>-1387.5</v>
      </c>
      <c r="I11" s="38">
        <f>-Pressupostos!C69/12</f>
        <v>-1387.5</v>
      </c>
      <c r="J11" s="38">
        <f>-Pressupostos!C69/12</f>
        <v>-1387.5</v>
      </c>
      <c r="K11" s="38">
        <f>-Pressupostos!C69/12</f>
        <v>-1387.5</v>
      </c>
      <c r="L11" s="38">
        <f>-Pressupostos!C69/12</f>
        <v>-1387.5</v>
      </c>
      <c r="M11" s="38">
        <f>-Pressupostos!C69/12</f>
        <v>-1387.5</v>
      </c>
      <c r="N11" s="38">
        <f>-Pressupostos!C69/12</f>
        <v>-1387.5</v>
      </c>
      <c r="O11" s="38">
        <f>-Pressupostos!C69</f>
        <v>-16650</v>
      </c>
      <c r="P11" s="38">
        <f>-Pressupostos!C69</f>
        <v>-16650</v>
      </c>
      <c r="Q11" s="38">
        <f>-Pressupostos!C69</f>
        <v>-16650</v>
      </c>
      <c r="R11" s="38">
        <f>-Pressupostos!C69</f>
        <v>-16650</v>
      </c>
      <c r="S11" s="38">
        <f>-Pressupostos!C69</f>
        <v>-16650</v>
      </c>
    </row>
    <row r="12" spans="2:19" x14ac:dyDescent="0.2">
      <c r="B12" s="12" t="s">
        <v>653</v>
      </c>
      <c r="C12" s="29">
        <f t="shared" ref="C12:S12" si="3">C9+C11</f>
        <v>229.20825398230136</v>
      </c>
      <c r="D12" s="29">
        <f t="shared" si="3"/>
        <v>3840.6649654867251</v>
      </c>
      <c r="E12" s="29">
        <f t="shared" si="3"/>
        <v>6501.2517557522115</v>
      </c>
      <c r="F12" s="29">
        <f t="shared" si="3"/>
        <v>1226.8816212389374</v>
      </c>
      <c r="G12" s="29">
        <f t="shared" si="3"/>
        <v>3338.6707088495568</v>
      </c>
      <c r="H12" s="29">
        <f t="shared" si="3"/>
        <v>16361.399491150438</v>
      </c>
      <c r="I12" s="29">
        <f t="shared" si="3"/>
        <v>4996.8529044247771</v>
      </c>
      <c r="J12" s="29">
        <f t="shared" si="3"/>
        <v>10729.228782300881</v>
      </c>
      <c r="K12" s="29">
        <f t="shared" si="3"/>
        <v>4925.1130619469022</v>
      </c>
      <c r="L12" s="29">
        <f t="shared" si="3"/>
        <v>3974.0666884955754</v>
      </c>
      <c r="M12" s="29">
        <f t="shared" si="3"/>
        <v>8230.0494584070802</v>
      </c>
      <c r="N12" s="29">
        <f t="shared" si="3"/>
        <v>10905.162307079649</v>
      </c>
      <c r="O12" s="29">
        <f t="shared" si="3"/>
        <v>74538.549999115057</v>
      </c>
      <c r="P12" s="29">
        <f t="shared" si="3"/>
        <v>93334.760109778785</v>
      </c>
      <c r="Q12" s="29">
        <f t="shared" si="3"/>
        <v>102511.59811526773</v>
      </c>
      <c r="R12" s="29">
        <f t="shared" si="3"/>
        <v>112147.278021031</v>
      </c>
      <c r="S12" s="29">
        <f t="shared" si="3"/>
        <v>122264.74192208267</v>
      </c>
    </row>
    <row r="13" spans="2:19" x14ac:dyDescent="0.2">
      <c r="B13" s="10" t="s">
        <v>654</v>
      </c>
      <c r="C13" s="35">
        <f>-Financiamento!C72</f>
        <v>-670.4</v>
      </c>
      <c r="D13" s="35">
        <f>-Financiamento!D72</f>
        <v>-661.27603860238082</v>
      </c>
      <c r="E13" s="35">
        <f>-Financiamento!E72</f>
        <v>-652.09125079544413</v>
      </c>
      <c r="F13" s="35">
        <f>-Financiamento!F72</f>
        <v>-642.84523106979452</v>
      </c>
      <c r="G13" s="35">
        <f>-Financiamento!G72</f>
        <v>-633.53757121264073</v>
      </c>
      <c r="H13" s="35">
        <f>-Financiamento!H72</f>
        <v>-624.16786028977242</v>
      </c>
      <c r="I13" s="35">
        <f>-Financiamento!I72</f>
        <v>-614.73568462741832</v>
      </c>
      <c r="J13" s="35">
        <f>-Financiamento!J72</f>
        <v>-605.24062779398184</v>
      </c>
      <c r="K13" s="35">
        <f>-Financiamento!K72</f>
        <v>-595.68227058165587</v>
      </c>
      <c r="L13" s="35">
        <f>-Financiamento!L72</f>
        <v>-586.06019098791444</v>
      </c>
      <c r="M13" s="35">
        <f>-Financiamento!M72</f>
        <v>-576.37396419688127</v>
      </c>
      <c r="N13" s="35">
        <f>-Financiamento!N72</f>
        <v>-566.62316256057466</v>
      </c>
      <c r="O13" s="35">
        <f>-Financiamento!C74</f>
        <v>-7429.0338527184576</v>
      </c>
      <c r="P13" s="35">
        <f>-Financiamento!D74</f>
        <v>-6014.8138331456421</v>
      </c>
      <c r="Q13" s="35">
        <f>-Financiamento!E74</f>
        <v>-4483.2142494309746</v>
      </c>
      <c r="R13" s="35">
        <f>-Financiamento!F74</f>
        <v>-2824.4926556413993</v>
      </c>
      <c r="S13" s="35">
        <f>-Financiamento!G74</f>
        <v>-1028.0979876363212</v>
      </c>
    </row>
    <row r="14" spans="2:19" x14ac:dyDescent="0.2">
      <c r="B14" s="12" t="s">
        <v>655</v>
      </c>
      <c r="C14" s="29">
        <f t="shared" ref="C14:S14" si="4">C12+C13</f>
        <v>-441.19174601769862</v>
      </c>
      <c r="D14" s="29">
        <f t="shared" si="4"/>
        <v>3179.3889268843441</v>
      </c>
      <c r="E14" s="29">
        <f t="shared" si="4"/>
        <v>5849.160504956767</v>
      </c>
      <c r="F14" s="29">
        <f t="shared" si="4"/>
        <v>584.03639016914292</v>
      </c>
      <c r="G14" s="29">
        <f t="shared" si="4"/>
        <v>2705.1331376369162</v>
      </c>
      <c r="H14" s="29">
        <f t="shared" si="4"/>
        <v>15737.231630860666</v>
      </c>
      <c r="I14" s="29">
        <f t="shared" si="4"/>
        <v>4382.1172197973592</v>
      </c>
      <c r="J14" s="29">
        <f t="shared" si="4"/>
        <v>10123.988154506898</v>
      </c>
      <c r="K14" s="29">
        <f t="shared" si="4"/>
        <v>4329.4307913652465</v>
      </c>
      <c r="L14" s="29">
        <f t="shared" si="4"/>
        <v>3388.0064975076612</v>
      </c>
      <c r="M14" s="29">
        <f t="shared" si="4"/>
        <v>7653.6754942101988</v>
      </c>
      <c r="N14" s="29">
        <f t="shared" si="4"/>
        <v>10338.539144519074</v>
      </c>
      <c r="O14" s="29">
        <f t="shared" si="4"/>
        <v>67109.516146396607</v>
      </c>
      <c r="P14" s="29">
        <f t="shared" si="4"/>
        <v>87319.946276633142</v>
      </c>
      <c r="Q14" s="29">
        <f t="shared" si="4"/>
        <v>98028.383865836746</v>
      </c>
      <c r="R14" s="29">
        <f t="shared" si="4"/>
        <v>109322.7853653896</v>
      </c>
      <c r="S14" s="29">
        <f t="shared" si="4"/>
        <v>121236.64393444634</v>
      </c>
    </row>
    <row r="15" spans="2:19" x14ac:dyDescent="0.2">
      <c r="B15" s="10" t="s">
        <v>656</v>
      </c>
      <c r="C15" s="38">
        <f>-MAX(C14,0)*Pressupostos!C67</f>
        <v>0</v>
      </c>
      <c r="D15" s="38">
        <f>-MAX(D14,0)*Pressupostos!C67</f>
        <v>-508.70222830149504</v>
      </c>
      <c r="E15" s="38">
        <f>-MAX(E14,0)*Pressupostos!C67</f>
        <v>-935.86568079308279</v>
      </c>
      <c r="F15" s="38">
        <f>-MAX(F14,0)*Pressupostos!C67</f>
        <v>-93.445822427062865</v>
      </c>
      <c r="G15" s="38">
        <f>-MAX(G14,0)*Pressupostos!C67</f>
        <v>-432.8213020219066</v>
      </c>
      <c r="H15" s="38">
        <f>-MAX(H14,0)*Pressupostos!C67</f>
        <v>-2517.9570609377065</v>
      </c>
      <c r="I15" s="38">
        <f>-MAX(I14,0)*Pressupostos!C67</f>
        <v>-701.13875516757753</v>
      </c>
      <c r="J15" s="38">
        <f>-MAX(J14,0)*Pressupostos!C67</f>
        <v>-1619.8381047211037</v>
      </c>
      <c r="K15" s="38">
        <f>-MAX(K14,0)*Pressupostos!C67</f>
        <v>-692.70892661843948</v>
      </c>
      <c r="L15" s="38">
        <f>-MAX(L14,0)*Pressupostos!C67</f>
        <v>-542.08103960122583</v>
      </c>
      <c r="M15" s="38">
        <f>-MAX(M14,0)*Pressupostos!C67</f>
        <v>-1224.5880790736319</v>
      </c>
      <c r="N15" s="38">
        <f>-MAX(N14,0)*Pressupostos!C67</f>
        <v>-1654.166263123052</v>
      </c>
      <c r="O15" s="38">
        <f>-MAX(O14,0)*Pressupostos!C67</f>
        <v>-10737.522583423457</v>
      </c>
      <c r="P15" s="38">
        <f>-MAX(P14,0)*Pressupostos!C67</f>
        <v>-13971.191404261303</v>
      </c>
      <c r="Q15" s="38">
        <f>-MAX(Q14,0)*Pressupostos!C67</f>
        <v>-15684.54141853388</v>
      </c>
      <c r="R15" s="38">
        <f>-MAX(R14,0)*Pressupostos!C67</f>
        <v>-17491.645658462337</v>
      </c>
      <c r="S15" s="38">
        <f>-MAX(S14,0)*Pressupostos!C67</f>
        <v>-19397.863029511416</v>
      </c>
    </row>
    <row r="16" spans="2:19" x14ac:dyDescent="0.2">
      <c r="B16" s="61" t="s">
        <v>657</v>
      </c>
      <c r="C16" s="62">
        <f t="shared" ref="C16:S16" si="5">C14+C15</f>
        <v>-441.19174601769862</v>
      </c>
      <c r="D16" s="62">
        <f t="shared" si="5"/>
        <v>2670.6866985828492</v>
      </c>
      <c r="E16" s="62">
        <f t="shared" si="5"/>
        <v>4913.2948241636841</v>
      </c>
      <c r="F16" s="62">
        <f t="shared" si="5"/>
        <v>490.59056774208005</v>
      </c>
      <c r="G16" s="62">
        <f t="shared" si="5"/>
        <v>2272.3118356150098</v>
      </c>
      <c r="H16" s="62">
        <f t="shared" si="5"/>
        <v>13219.27456992296</v>
      </c>
      <c r="I16" s="62">
        <f t="shared" si="5"/>
        <v>3680.9784646297817</v>
      </c>
      <c r="J16" s="62">
        <f t="shared" si="5"/>
        <v>8504.1500497857942</v>
      </c>
      <c r="K16" s="62">
        <f t="shared" si="5"/>
        <v>3636.7218647468071</v>
      </c>
      <c r="L16" s="62">
        <f t="shared" si="5"/>
        <v>2845.9254579064354</v>
      </c>
      <c r="M16" s="62">
        <f t="shared" si="5"/>
        <v>6429.087415136567</v>
      </c>
      <c r="N16" s="62">
        <f t="shared" si="5"/>
        <v>8684.3728813960224</v>
      </c>
      <c r="O16" s="62">
        <f t="shared" si="5"/>
        <v>56371.993562973148</v>
      </c>
      <c r="P16" s="62">
        <f t="shared" si="5"/>
        <v>73348.754872371836</v>
      </c>
      <c r="Q16" s="62">
        <f t="shared" si="5"/>
        <v>82343.842447302872</v>
      </c>
      <c r="R16" s="62">
        <f t="shared" si="5"/>
        <v>91831.139706927264</v>
      </c>
      <c r="S16" s="62">
        <f t="shared" si="5"/>
        <v>101838.78090493493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9"/>
  <sheetViews>
    <sheetView showGridLines="0" topLeftCell="B1" zoomScale="150"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8" width="14" customWidth="1"/>
  </cols>
  <sheetData>
    <row r="1" spans="2:8" ht="17" x14ac:dyDescent="0.2">
      <c r="B1" s="15" t="s">
        <v>658</v>
      </c>
    </row>
    <row r="4" spans="2:8" x14ac:dyDescent="0.2">
      <c r="B4" s="30" t="s">
        <v>618</v>
      </c>
      <c r="C4" s="17" t="s">
        <v>659</v>
      </c>
      <c r="D4" s="17" t="s">
        <v>660</v>
      </c>
      <c r="E4" s="17" t="s">
        <v>661</v>
      </c>
      <c r="F4" s="17" t="s">
        <v>662</v>
      </c>
      <c r="G4" s="17" t="s">
        <v>663</v>
      </c>
      <c r="H4" s="17" t="s">
        <v>664</v>
      </c>
    </row>
    <row r="5" spans="2:8" x14ac:dyDescent="0.2">
      <c r="B5" s="12" t="s">
        <v>646</v>
      </c>
      <c r="C5" s="63">
        <f>DRE!O5</f>
        <v>265075.51769911504</v>
      </c>
      <c r="D5" s="63">
        <f>DRE!P5</f>
        <v>295319.52942477877</v>
      </c>
      <c r="E5" s="63">
        <f>DRE!Q5</f>
        <v>310085.50589601771</v>
      </c>
      <c r="F5" s="63">
        <f>DRE!R5</f>
        <v>325589.78119081852</v>
      </c>
      <c r="G5" s="63">
        <f>DRE!S5</f>
        <v>341869.27025035955</v>
      </c>
      <c r="H5" s="63">
        <f>SUM(C5:G5)</f>
        <v>1537939.6044610897</v>
      </c>
    </row>
    <row r="6" spans="2:8" x14ac:dyDescent="0.2">
      <c r="B6" s="61" t="s">
        <v>650</v>
      </c>
      <c r="C6" s="37">
        <f>DRE!O9</f>
        <v>91188.549999115057</v>
      </c>
      <c r="D6" s="37">
        <f>DRE!P9</f>
        <v>109984.76010977878</v>
      </c>
      <c r="E6" s="37">
        <f>DRE!Q9</f>
        <v>119161.59811526773</v>
      </c>
      <c r="F6" s="37">
        <f>DRE!R9</f>
        <v>128797.278021031</v>
      </c>
      <c r="G6" s="37">
        <f>DRE!S9</f>
        <v>138914.74192208267</v>
      </c>
      <c r="H6" s="37">
        <f>SUM(C6:G6)</f>
        <v>588046.92816727527</v>
      </c>
    </row>
    <row r="7" spans="2:8" x14ac:dyDescent="0.2">
      <c r="B7" s="10" t="s">
        <v>651</v>
      </c>
      <c r="C7" s="64">
        <f>DRE!O10</f>
        <v>0.34400970255813063</v>
      </c>
      <c r="D7" s="64">
        <f>DRE!P10</f>
        <v>0.37242630151824468</v>
      </c>
      <c r="E7" s="64">
        <f>DRE!Q10</f>
        <v>0.384286256047152</v>
      </c>
      <c r="F7" s="64">
        <f>DRE!R10</f>
        <v>0.3955814508365873</v>
      </c>
      <c r="G7" s="64">
        <f>DRE!S10</f>
        <v>0.40633877920747857</v>
      </c>
    </row>
    <row r="8" spans="2:8" x14ac:dyDescent="0.2">
      <c r="B8" s="61" t="s">
        <v>665</v>
      </c>
      <c r="C8" s="37">
        <f>DRE!O16</f>
        <v>56371.993562973148</v>
      </c>
      <c r="D8" s="37">
        <f>DRE!P16</f>
        <v>73348.754872371836</v>
      </c>
      <c r="E8" s="37">
        <f>DRE!Q16</f>
        <v>82343.842447302872</v>
      </c>
      <c r="F8" s="37">
        <f>DRE!R16</f>
        <v>91831.139706927264</v>
      </c>
      <c r="G8" s="37">
        <f>DRE!S16</f>
        <v>101838.78090493493</v>
      </c>
      <c r="H8" s="37">
        <f>SUM(C8:G8)</f>
        <v>405734.51149451005</v>
      </c>
    </row>
    <row r="9" spans="2:8" x14ac:dyDescent="0.2">
      <c r="B9" s="12" t="s">
        <v>666</v>
      </c>
      <c r="C9" s="29">
        <f>C8</f>
        <v>56371.993562973148</v>
      </c>
      <c r="D9" s="29">
        <f>C9+D8</f>
        <v>129720.74843534498</v>
      </c>
      <c r="E9" s="29">
        <f>D9+E8</f>
        <v>212064.59088264784</v>
      </c>
      <c r="F9" s="29">
        <f>E9+F8</f>
        <v>303895.73058957513</v>
      </c>
      <c r="G9" s="29">
        <f>F9+G8</f>
        <v>405734.51149451005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S10"/>
  <sheetViews>
    <sheetView showGridLines="0"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14" width="9.5" customWidth="1"/>
    <col min="15" max="19" width="11" customWidth="1"/>
  </cols>
  <sheetData>
    <row r="1" spans="2:19" ht="17" x14ac:dyDescent="0.2">
      <c r="B1" s="15" t="s">
        <v>667</v>
      </c>
    </row>
    <row r="2" spans="2:19" x14ac:dyDescent="0.2">
      <c r="B2" s="13" t="s">
        <v>668</v>
      </c>
    </row>
    <row r="4" spans="2:19" ht="26" x14ac:dyDescent="0.2">
      <c r="B4" s="30" t="s">
        <v>618</v>
      </c>
      <c r="C4" s="17" t="s">
        <v>154</v>
      </c>
      <c r="D4" s="17" t="s">
        <v>155</v>
      </c>
      <c r="E4" s="17" t="s">
        <v>156</v>
      </c>
      <c r="F4" s="17" t="s">
        <v>157</v>
      </c>
      <c r="G4" s="17" t="s">
        <v>158</v>
      </c>
      <c r="H4" s="17" t="s">
        <v>159</v>
      </c>
      <c r="I4" s="17" t="s">
        <v>160</v>
      </c>
      <c r="J4" s="17" t="s">
        <v>161</v>
      </c>
      <c r="K4" s="17" t="s">
        <v>162</v>
      </c>
      <c r="L4" s="17" t="s">
        <v>163</v>
      </c>
      <c r="M4" s="17" t="s">
        <v>164</v>
      </c>
      <c r="N4" s="17" t="s">
        <v>165</v>
      </c>
      <c r="O4" s="17" t="s">
        <v>619</v>
      </c>
      <c r="P4" s="17" t="s">
        <v>620</v>
      </c>
      <c r="Q4" s="17" t="s">
        <v>621</v>
      </c>
      <c r="R4" s="17" t="s">
        <v>622</v>
      </c>
      <c r="S4" s="17" t="s">
        <v>623</v>
      </c>
    </row>
    <row r="5" spans="2:19" x14ac:dyDescent="0.2">
      <c r="B5" s="10" t="s">
        <v>665</v>
      </c>
      <c r="C5" s="35">
        <f>DRE!C16</f>
        <v>-441.19174601769862</v>
      </c>
      <c r="D5" s="35">
        <f>DRE!D16</f>
        <v>2670.6866985828492</v>
      </c>
      <c r="E5" s="35">
        <f>DRE!E16</f>
        <v>4913.2948241636841</v>
      </c>
      <c r="F5" s="35">
        <f>DRE!F16</f>
        <v>490.59056774208005</v>
      </c>
      <c r="G5" s="35">
        <f>DRE!G16</f>
        <v>2272.3118356150098</v>
      </c>
      <c r="H5" s="35">
        <f>DRE!H16</f>
        <v>13219.27456992296</v>
      </c>
      <c r="I5" s="35">
        <f>DRE!I16</f>
        <v>3680.9784646297817</v>
      </c>
      <c r="J5" s="35">
        <f>DRE!J16</f>
        <v>8504.1500497857942</v>
      </c>
      <c r="K5" s="35">
        <f>DRE!K16</f>
        <v>3636.7218647468071</v>
      </c>
      <c r="L5" s="35">
        <f>DRE!L16</f>
        <v>2845.9254579064354</v>
      </c>
      <c r="M5" s="35">
        <f>DRE!M16</f>
        <v>6429.087415136567</v>
      </c>
      <c r="N5" s="35">
        <f>DRE!N16</f>
        <v>8684.3728813960224</v>
      </c>
      <c r="O5" s="35">
        <f>DRE!O16</f>
        <v>56371.993562973148</v>
      </c>
      <c r="P5" s="35">
        <f>DRE!P16</f>
        <v>73348.754872371836</v>
      </c>
      <c r="Q5" s="35">
        <f>DRE!Q16</f>
        <v>82343.842447302872</v>
      </c>
      <c r="R5" s="35">
        <f>DRE!R16</f>
        <v>91831.139706927264</v>
      </c>
      <c r="S5" s="35">
        <f>DRE!S16</f>
        <v>101838.78090493493</v>
      </c>
    </row>
    <row r="6" spans="2:19" x14ac:dyDescent="0.2">
      <c r="B6" s="10" t="s">
        <v>669</v>
      </c>
      <c r="C6" s="35">
        <f>-DRE!C11</f>
        <v>1387.5</v>
      </c>
      <c r="D6" s="35">
        <f>-DRE!D11</f>
        <v>1387.5</v>
      </c>
      <c r="E6" s="35">
        <f>-DRE!E11</f>
        <v>1387.5</v>
      </c>
      <c r="F6" s="35">
        <f>-DRE!F11</f>
        <v>1387.5</v>
      </c>
      <c r="G6" s="35">
        <f>-DRE!G11</f>
        <v>1387.5</v>
      </c>
      <c r="H6" s="35">
        <f>-DRE!H11</f>
        <v>1387.5</v>
      </c>
      <c r="I6" s="35">
        <f>-DRE!I11</f>
        <v>1387.5</v>
      </c>
      <c r="J6" s="35">
        <f>-DRE!J11</f>
        <v>1387.5</v>
      </c>
      <c r="K6" s="35">
        <f>-DRE!K11</f>
        <v>1387.5</v>
      </c>
      <c r="L6" s="35">
        <f>-DRE!L11</f>
        <v>1387.5</v>
      </c>
      <c r="M6" s="35">
        <f>-DRE!M11</f>
        <v>1387.5</v>
      </c>
      <c r="N6" s="35">
        <f>-DRE!N11</f>
        <v>1387.5</v>
      </c>
      <c r="O6" s="35">
        <f>-DRE!O11</f>
        <v>16650</v>
      </c>
      <c r="P6" s="35">
        <f>-DRE!P11</f>
        <v>16650</v>
      </c>
      <c r="Q6" s="35">
        <f>-DRE!Q11</f>
        <v>16650</v>
      </c>
      <c r="R6" s="35">
        <f>-DRE!R11</f>
        <v>16650</v>
      </c>
      <c r="S6" s="35">
        <f>-DRE!S11</f>
        <v>16650</v>
      </c>
    </row>
    <row r="7" spans="2:19" x14ac:dyDescent="0.2">
      <c r="B7" s="61" t="s">
        <v>670</v>
      </c>
      <c r="C7" s="36">
        <f t="shared" ref="C7:S7" si="0">C5+C6</f>
        <v>946.30825398230138</v>
      </c>
      <c r="D7" s="36">
        <f t="shared" si="0"/>
        <v>4058.1866985828492</v>
      </c>
      <c r="E7" s="36">
        <f t="shared" si="0"/>
        <v>6300.7948241636841</v>
      </c>
      <c r="F7" s="36">
        <f t="shared" si="0"/>
        <v>1878.0905677420801</v>
      </c>
      <c r="G7" s="36">
        <f t="shared" si="0"/>
        <v>3659.8118356150098</v>
      </c>
      <c r="H7" s="36">
        <f t="shared" si="0"/>
        <v>14606.77456992296</v>
      </c>
      <c r="I7" s="36">
        <f t="shared" si="0"/>
        <v>5068.4784646297812</v>
      </c>
      <c r="J7" s="36">
        <f t="shared" si="0"/>
        <v>9891.6500497857942</v>
      </c>
      <c r="K7" s="36">
        <f t="shared" si="0"/>
        <v>5024.2218647468071</v>
      </c>
      <c r="L7" s="36">
        <f t="shared" si="0"/>
        <v>4233.4254579064354</v>
      </c>
      <c r="M7" s="36">
        <f t="shared" si="0"/>
        <v>7816.587415136567</v>
      </c>
      <c r="N7" s="36">
        <f t="shared" si="0"/>
        <v>10071.872881396022</v>
      </c>
      <c r="O7" s="36">
        <f t="shared" si="0"/>
        <v>73021.993562973148</v>
      </c>
      <c r="P7" s="36">
        <f t="shared" si="0"/>
        <v>89998.754872371836</v>
      </c>
      <c r="Q7" s="36">
        <f t="shared" si="0"/>
        <v>98993.842447302872</v>
      </c>
      <c r="R7" s="36">
        <f t="shared" si="0"/>
        <v>108481.13970692726</v>
      </c>
      <c r="S7" s="36">
        <f t="shared" si="0"/>
        <v>118488.78090493493</v>
      </c>
    </row>
    <row r="8" spans="2:19" x14ac:dyDescent="0.2">
      <c r="B8" s="10" t="s">
        <v>671</v>
      </c>
      <c r="C8" s="35">
        <f>-Financiamento!F9</f>
        <v>-1368.5942096428794</v>
      </c>
      <c r="D8" s="35">
        <f>-Financiamento!F10</f>
        <v>-1377.7181710404986</v>
      </c>
      <c r="E8" s="35">
        <f>-Financiamento!F11</f>
        <v>-1386.9029588474355</v>
      </c>
      <c r="F8" s="35">
        <f>-Financiamento!F12</f>
        <v>-1396.1489785730851</v>
      </c>
      <c r="G8" s="35">
        <f>-Financiamento!F13</f>
        <v>-1405.4566384302389</v>
      </c>
      <c r="H8" s="35">
        <f>-Financiamento!F14</f>
        <v>-1414.8263493531072</v>
      </c>
      <c r="I8" s="35">
        <f>-Financiamento!F15</f>
        <v>-1424.2585250154611</v>
      </c>
      <c r="J8" s="35">
        <f>-Financiamento!F16</f>
        <v>-1433.7535818488977</v>
      </c>
      <c r="K8" s="35">
        <f>-Financiamento!F17</f>
        <v>-1443.3119390612237</v>
      </c>
      <c r="L8" s="35">
        <f>-Financiamento!F18</f>
        <v>-1452.934018654965</v>
      </c>
      <c r="M8" s="35">
        <f>-Financiamento!F19</f>
        <v>-1462.6202454459981</v>
      </c>
      <c r="N8" s="35">
        <f>-Financiamento!F20</f>
        <v>-1472.3710470823048</v>
      </c>
      <c r="O8" s="35">
        <f>-Financiamento!C76</f>
        <v>-17038.896662996096</v>
      </c>
      <c r="P8" s="35">
        <f>-Financiamento!D76</f>
        <v>-18453.116682568911</v>
      </c>
      <c r="Q8" s="35">
        <f>-Financiamento!E76</f>
        <v>-19984.716266283576</v>
      </c>
      <c r="R8" s="35">
        <f>-Financiamento!F76</f>
        <v>-21643.437860073151</v>
      </c>
      <c r="S8" s="35">
        <f>-Financiamento!G76</f>
        <v>-23439.832528078234</v>
      </c>
    </row>
    <row r="9" spans="2:19" x14ac:dyDescent="0.2">
      <c r="B9" s="61" t="s">
        <v>672</v>
      </c>
      <c r="C9" s="62">
        <f t="shared" ref="C9:S9" si="1">C7+C8</f>
        <v>-422.285955660578</v>
      </c>
      <c r="D9" s="62">
        <f t="shared" si="1"/>
        <v>2680.4685275423508</v>
      </c>
      <c r="E9" s="62">
        <f t="shared" si="1"/>
        <v>4913.8918653162491</v>
      </c>
      <c r="F9" s="62">
        <f t="shared" si="1"/>
        <v>481.94158916899505</v>
      </c>
      <c r="G9" s="62">
        <f t="shared" si="1"/>
        <v>2254.355197184771</v>
      </c>
      <c r="H9" s="62">
        <f t="shared" si="1"/>
        <v>13191.948220569853</v>
      </c>
      <c r="I9" s="62">
        <f t="shared" si="1"/>
        <v>3644.2199396143201</v>
      </c>
      <c r="J9" s="62">
        <f t="shared" si="1"/>
        <v>8457.8964679368964</v>
      </c>
      <c r="K9" s="62">
        <f t="shared" si="1"/>
        <v>3580.9099256855834</v>
      </c>
      <c r="L9" s="62">
        <f t="shared" si="1"/>
        <v>2780.4914392514702</v>
      </c>
      <c r="M9" s="62">
        <f t="shared" si="1"/>
        <v>6353.9671696905689</v>
      </c>
      <c r="N9" s="62">
        <f t="shared" si="1"/>
        <v>8599.5018343137181</v>
      </c>
      <c r="O9" s="62">
        <f t="shared" si="1"/>
        <v>55983.096899977056</v>
      </c>
      <c r="P9" s="62">
        <f t="shared" si="1"/>
        <v>71545.638189802921</v>
      </c>
      <c r="Q9" s="62">
        <f t="shared" si="1"/>
        <v>79009.126181019295</v>
      </c>
      <c r="R9" s="62">
        <f t="shared" si="1"/>
        <v>86837.701846854121</v>
      </c>
      <c r="S9" s="62">
        <f t="shared" si="1"/>
        <v>95048.948376856701</v>
      </c>
    </row>
    <row r="10" spans="2:19" x14ac:dyDescent="0.2">
      <c r="B10" s="12" t="s">
        <v>673</v>
      </c>
      <c r="C10" s="29">
        <f>C9</f>
        <v>-422.285955660578</v>
      </c>
      <c r="D10" s="29">
        <f t="shared" ref="D10:N10" si="2">C10+D9</f>
        <v>2258.1825718817727</v>
      </c>
      <c r="E10" s="29">
        <f t="shared" si="2"/>
        <v>7172.0744371980218</v>
      </c>
      <c r="F10" s="29">
        <f t="shared" si="2"/>
        <v>7654.0160263670168</v>
      </c>
      <c r="G10" s="29">
        <f t="shared" si="2"/>
        <v>9908.3712235517887</v>
      </c>
      <c r="H10" s="29">
        <f t="shared" si="2"/>
        <v>23100.31944412164</v>
      </c>
      <c r="I10" s="29">
        <f t="shared" si="2"/>
        <v>26744.539383735959</v>
      </c>
      <c r="J10" s="29">
        <f t="shared" si="2"/>
        <v>35202.435851672853</v>
      </c>
      <c r="K10" s="29">
        <f t="shared" si="2"/>
        <v>38783.345777358438</v>
      </c>
      <c r="L10" s="29">
        <f t="shared" si="2"/>
        <v>41563.837216609907</v>
      </c>
      <c r="M10" s="29">
        <f t="shared" si="2"/>
        <v>47917.804386300479</v>
      </c>
      <c r="N10" s="29">
        <f t="shared" si="2"/>
        <v>56517.306220614199</v>
      </c>
      <c r="P10" s="29">
        <f>N10+P9</f>
        <v>128062.94441041711</v>
      </c>
      <c r="Q10" s="29">
        <f>P10+Q9</f>
        <v>207072.07059143641</v>
      </c>
      <c r="R10" s="29">
        <f>Q10+R9</f>
        <v>293909.77243829053</v>
      </c>
      <c r="S10" s="29">
        <f>R10+S9</f>
        <v>388958.72081514722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23"/>
  <sheetViews>
    <sheetView showGridLines="0" zoomScale="174" zoomScaleNormal="100" workbookViewId="0">
      <selection activeCell="F15" sqref="F15"/>
    </sheetView>
  </sheetViews>
  <sheetFormatPr baseColWidth="10" defaultColWidth="8.6640625" defaultRowHeight="15" x14ac:dyDescent="0.2"/>
  <cols>
    <col min="1" max="1" width="2.5" customWidth="1"/>
    <col min="2" max="2" width="48" customWidth="1"/>
    <col min="3" max="5" width="13" customWidth="1"/>
  </cols>
  <sheetData>
    <row r="1" spans="2:7" ht="17" x14ac:dyDescent="0.2">
      <c r="B1" s="15" t="s">
        <v>674</v>
      </c>
    </row>
    <row r="2" spans="2:7" x14ac:dyDescent="0.2">
      <c r="B2" s="13" t="s">
        <v>675</v>
      </c>
    </row>
    <row r="4" spans="2:7" x14ac:dyDescent="0.2">
      <c r="B4" s="5" t="s">
        <v>676</v>
      </c>
      <c r="C4" s="6"/>
      <c r="D4" s="6"/>
    </row>
    <row r="5" spans="2:7" x14ac:dyDescent="0.2">
      <c r="B5" s="10" t="s">
        <v>677</v>
      </c>
      <c r="C5" s="58">
        <f>Pressupostos!C8</f>
        <v>8.8495575221238951</v>
      </c>
      <c r="D5" s="14" t="s">
        <v>678</v>
      </c>
    </row>
    <row r="6" spans="2:7" x14ac:dyDescent="0.2">
      <c r="B6" s="10" t="s">
        <v>679</v>
      </c>
      <c r="C6" s="58">
        <f>-Pressupostos!C6*Pressupostos!C9</f>
        <v>-0.15</v>
      </c>
      <c r="D6" s="14" t="s">
        <v>678</v>
      </c>
    </row>
    <row r="7" spans="2:7" x14ac:dyDescent="0.2">
      <c r="B7" s="10" t="s">
        <v>680</v>
      </c>
      <c r="C7" s="58">
        <f>-Pressupostos!C23</f>
        <v>-3.29291</v>
      </c>
      <c r="D7" s="14" t="s">
        <v>678</v>
      </c>
    </row>
    <row r="8" spans="2:7" x14ac:dyDescent="0.2">
      <c r="B8" s="61" t="s">
        <v>681</v>
      </c>
      <c r="C8" s="65">
        <f>C5+C6+C7</f>
        <v>5.4066475221238948</v>
      </c>
      <c r="D8" s="14" t="s">
        <v>678</v>
      </c>
    </row>
    <row r="10" spans="2:7" x14ac:dyDescent="0.2">
      <c r="B10" s="5" t="s">
        <v>682</v>
      </c>
      <c r="C10" s="6"/>
      <c r="D10" s="6"/>
    </row>
    <row r="11" spans="2:7" x14ac:dyDescent="0.2">
      <c r="B11" s="10" t="s">
        <v>683</v>
      </c>
      <c r="C11" s="38">
        <f>Maquinas!L12+Pressupostos!C37+Pressupostos!C38+Pressupostos!C39</f>
        <v>2576</v>
      </c>
      <c r="D11" s="14" t="s">
        <v>92</v>
      </c>
      <c r="G11">
        <f>Maquinas!L12</f>
        <v>2176</v>
      </c>
    </row>
    <row r="12" spans="2:7" x14ac:dyDescent="0.2">
      <c r="B12" s="10" t="s">
        <v>684</v>
      </c>
      <c r="C12" s="38">
        <f>Pressupostos!C66</f>
        <v>2038.9942096428795</v>
      </c>
      <c r="D12" s="14" t="s">
        <v>92</v>
      </c>
      <c r="G12">
        <f>Pressupostos!C37+Pressupostos!C38+Pressupostos!C39</f>
        <v>400</v>
      </c>
    </row>
    <row r="13" spans="2:7" x14ac:dyDescent="0.2">
      <c r="B13" s="61" t="s">
        <v>685</v>
      </c>
      <c r="C13" s="37">
        <f>C11+C12</f>
        <v>4614.9942096428795</v>
      </c>
      <c r="D13" s="14" t="s">
        <v>92</v>
      </c>
    </row>
    <row r="15" spans="2:7" x14ac:dyDescent="0.2">
      <c r="B15" s="5" t="s">
        <v>674</v>
      </c>
      <c r="C15" s="6"/>
      <c r="D15" s="6"/>
    </row>
    <row r="16" spans="2:7" x14ac:dyDescent="0.2">
      <c r="B16" s="12" t="s">
        <v>686</v>
      </c>
      <c r="C16" s="28">
        <f>C13/C8</f>
        <v>853.57778378531509</v>
      </c>
      <c r="D16" s="14" t="s">
        <v>687</v>
      </c>
    </row>
    <row r="17" spans="2:5" x14ac:dyDescent="0.2">
      <c r="B17" s="12" t="s">
        <v>688</v>
      </c>
      <c r="C17" s="66">
        <f>C16/Pressupostos!C11</f>
        <v>28.452592792843838</v>
      </c>
      <c r="D17" s="14" t="s">
        <v>71</v>
      </c>
      <c r="E17">
        <f>Pressupostos!C49</f>
        <v>2</v>
      </c>
    </row>
    <row r="18" spans="2:5" x14ac:dyDescent="0.2">
      <c r="B18" s="12" t="s">
        <v>689</v>
      </c>
      <c r="C18" s="67">
        <f>C17/Pressupostos!C49</f>
        <v>14.226296396421919</v>
      </c>
      <c r="D18" s="14" t="s">
        <v>71</v>
      </c>
    </row>
    <row r="19" spans="2:5" x14ac:dyDescent="0.2">
      <c r="B19" s="12" t="s">
        <v>690</v>
      </c>
      <c r="C19" s="68">
        <f>Pressupostos!C10</f>
        <v>20</v>
      </c>
    </row>
    <row r="20" spans="2:5" x14ac:dyDescent="0.2">
      <c r="B20" s="12" t="s">
        <v>691</v>
      </c>
      <c r="C20" s="69">
        <f>C19/C18-1</f>
        <v>0.40584727343584914</v>
      </c>
    </row>
    <row r="22" spans="2:5" x14ac:dyDescent="0.2">
      <c r="B22" s="27" t="s">
        <v>692</v>
      </c>
    </row>
    <row r="23" spans="2:5" x14ac:dyDescent="0.2">
      <c r="B23" s="27" t="s">
        <v>693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2"/>
  <sheetViews>
    <sheetView showGridLines="0" zoomScaleNormal="100" workbookViewId="0"/>
  </sheetViews>
  <sheetFormatPr baseColWidth="10" defaultColWidth="8.6640625" defaultRowHeight="15" x14ac:dyDescent="0.2"/>
  <cols>
    <col min="1" max="1" width="2.5" customWidth="1"/>
    <col min="2" max="2" width="26" customWidth="1"/>
    <col min="3" max="8" width="13" customWidth="1"/>
  </cols>
  <sheetData>
    <row r="1" spans="2:7" ht="17" x14ac:dyDescent="0.2">
      <c r="B1" s="15" t="s">
        <v>694</v>
      </c>
    </row>
    <row r="2" spans="2:7" x14ac:dyDescent="0.2">
      <c r="B2" s="13" t="s">
        <v>695</v>
      </c>
    </row>
    <row r="4" spans="2:7" x14ac:dyDescent="0.2">
      <c r="B4" s="17" t="s">
        <v>696</v>
      </c>
      <c r="C4" s="70">
        <v>14</v>
      </c>
      <c r="D4" s="70">
        <v>17</v>
      </c>
      <c r="E4" s="70">
        <v>20</v>
      </c>
      <c r="F4" s="70">
        <v>23</v>
      </c>
      <c r="G4" s="70">
        <v>26</v>
      </c>
    </row>
    <row r="5" spans="2:7" x14ac:dyDescent="0.2">
      <c r="B5" s="71">
        <v>8</v>
      </c>
      <c r="C5" s="38">
        <f>(Pressupostos!C49*C$4*Pressupostos!C11*12)*(($B5/(1+Pressupostos!C7))-$B5*Pressupostos!C9-Pressupostos!C23)-(Maquinas!L12+Pressupostos!C37+Pressupostos!C38+Pressupostos!C39)*12</f>
        <v>6048.6990584070809</v>
      </c>
      <c r="D5" s="38">
        <f>(Pressupostos!C49*D$4*Pressupostos!C11*12)*(($B5/(1+Pressupostos!C7))-$B5*Pressupostos!C9-Pressupostos!C23)-(Maquinas!L12+Pressupostos!C37+Pressupostos!C38+Pressupostos!C39)*12</f>
        <v>13968.848856637174</v>
      </c>
      <c r="E5" s="38">
        <f>(Pressupostos!C49*E$4*Pressupostos!C11*12)*(($B5/(1+Pressupostos!C7))-$B5*Pressupostos!C9-Pressupostos!C23)-(Maquinas!L12+Pressupostos!C37+Pressupostos!C38+Pressupostos!C39)*12</f>
        <v>21888.99865486726</v>
      </c>
      <c r="F5" s="38">
        <f>(Pressupostos!C49*F$4*Pressupostos!C11*12)*(($B5/(1+Pressupostos!C7))-$B5*Pressupostos!C9-Pressupostos!C23)-(Maquinas!L12+Pressupostos!C37+Pressupostos!C38+Pressupostos!C39)*12</f>
        <v>29809.148453097347</v>
      </c>
      <c r="G5" s="38">
        <f>(Pressupostos!C49*G$4*Pressupostos!C11*12)*(($B5/(1+Pressupostos!C7))-$B5*Pressupostos!C9-Pressupostos!C23)-(Maquinas!L12+Pressupostos!C37+Pressupostos!C38+Pressupostos!C39)*12</f>
        <v>37729.298251327433</v>
      </c>
    </row>
    <row r="6" spans="2:7" x14ac:dyDescent="0.2">
      <c r="B6" s="71">
        <v>9</v>
      </c>
      <c r="C6" s="38">
        <f>(Pressupostos!C49*C$4*Pressupostos!C11*12)*(($B6/(1+Pressupostos!C7))-$B6*Pressupostos!C9-Pressupostos!C23)-(Maquinas!L12+Pressupostos!C37+Pressupostos!C38+Pressupostos!C39)*12</f>
        <v>14817.853040707974</v>
      </c>
      <c r="D6" s="38">
        <f>(Pressupostos!C49*D$4*Pressupostos!C11*12)*(($B6/(1+Pressupostos!C7))-$B6*Pressupostos!C9-Pressupostos!C23)-(Maquinas!L12+Pressupostos!C37+Pressupostos!C38+Pressupostos!C39)*12</f>
        <v>24617.107263716825</v>
      </c>
      <c r="E6" s="38">
        <f>(Pressupostos!C49*E$4*Pressupostos!C11*12)*(($B6/(1+Pressupostos!C7))-$B6*Pressupostos!C9-Pressupostos!C23)-(Maquinas!L12+Pressupostos!C37+Pressupostos!C38+Pressupostos!C39)*12</f>
        <v>34416.361486725677</v>
      </c>
      <c r="F6" s="38">
        <f>(Pressupostos!C49*F$4*Pressupostos!C11*12)*(($B6/(1+Pressupostos!C7))-$B6*Pressupostos!C9-Pressupostos!C23)-(Maquinas!L12+Pressupostos!C37+Pressupostos!C38+Pressupostos!C39)*12</f>
        <v>44215.615709734528</v>
      </c>
      <c r="G6" s="38">
        <f>(Pressupostos!C49*G$4*Pressupostos!C11*12)*(($B6/(1+Pressupostos!C7))-$B6*Pressupostos!C9-Pressupostos!C23)-(Maquinas!L12+Pressupostos!C37+Pressupostos!C38+Pressupostos!C39)*12</f>
        <v>54014.869932743386</v>
      </c>
    </row>
    <row r="7" spans="2:7" x14ac:dyDescent="0.2">
      <c r="B7" s="71">
        <v>10</v>
      </c>
      <c r="C7" s="38">
        <f>(Pressupostos!C49*C$4*Pressupostos!C11*12)*(($B7/(1+Pressupostos!C7))-$B7*Pressupostos!C9-Pressupostos!C23)-(Maquinas!L12+Pressupostos!C37+Pressupostos!C38+Pressupostos!C39)*12</f>
        <v>23587.00702300886</v>
      </c>
      <c r="D7" s="38">
        <f>(Pressupostos!C49*D$4*Pressupostos!C11*12)*(($B7/(1+Pressupostos!C7))-$B7*Pressupostos!C9-Pressupostos!C23)-(Maquinas!L12+Pressupostos!C37+Pressupostos!C38+Pressupostos!C39)*12</f>
        <v>35265.365670796469</v>
      </c>
      <c r="E7" s="72">
        <f>(Pressupostos!C49*E$4*Pressupostos!C11*12)*(($B7/(1+Pressupostos!C7))-$B7*Pressupostos!C9-Pressupostos!C23)-(Maquinas!L12+Pressupostos!C37+Pressupostos!C38+Pressupostos!C39)*12</f>
        <v>46943.724318584078</v>
      </c>
      <c r="F7" s="38">
        <f>(Pressupostos!C49*F$4*Pressupostos!C11*12)*(($B7/(1+Pressupostos!C7))-$B7*Pressupostos!C9-Pressupostos!C23)-(Maquinas!L12+Pressupostos!C37+Pressupostos!C38+Pressupostos!C39)*12</f>
        <v>58622.082966371701</v>
      </c>
      <c r="G7" s="38">
        <f>(Pressupostos!C49*G$4*Pressupostos!C11*12)*(($B7/(1+Pressupostos!C7))-$B7*Pressupostos!C9-Pressupostos!C23)-(Maquinas!L12+Pressupostos!C37+Pressupostos!C38+Pressupostos!C39)*12</f>
        <v>70300.44161415931</v>
      </c>
    </row>
    <row r="8" spans="2:7" x14ac:dyDescent="0.2">
      <c r="B8" s="71">
        <v>11</v>
      </c>
      <c r="C8" s="38">
        <f>(Pressupostos!C49*C$4*Pressupostos!C11*12)*(($B8/(1+Pressupostos!C7))-$B8*Pressupostos!C9-Pressupostos!C23)-(Maquinas!L12+Pressupostos!C37+Pressupostos!C38+Pressupostos!C39)*12</f>
        <v>32356.161005309747</v>
      </c>
      <c r="D8" s="38">
        <f>(Pressupostos!C49*D$4*Pressupostos!C11*12)*(($B8/(1+Pressupostos!C7))-$B8*Pressupostos!C9-Pressupostos!C23)-(Maquinas!L12+Pressupostos!C37+Pressupostos!C38+Pressupostos!C39)*12</f>
        <v>45913.624077876113</v>
      </c>
      <c r="E8" s="38">
        <f>(Pressupostos!C49*E$4*Pressupostos!C11*12)*(($B8/(1+Pressupostos!C7))-$B8*Pressupostos!C9-Pressupostos!C23)-(Maquinas!L12+Pressupostos!C37+Pressupostos!C38+Pressupostos!C39)*12</f>
        <v>59471.087150442487</v>
      </c>
      <c r="F8" s="38">
        <f>(Pressupostos!C49*F$4*Pressupostos!C11*12)*(($B8/(1+Pressupostos!C7))-$B8*Pressupostos!C9-Pressupostos!C23)-(Maquinas!L12+Pressupostos!C37+Pressupostos!C38+Pressupostos!C39)*12</f>
        <v>73028.55022300886</v>
      </c>
      <c r="G8" s="38">
        <f>(Pressupostos!C49*G$4*Pressupostos!C11*12)*(($B8/(1+Pressupostos!C7))-$B8*Pressupostos!C9-Pressupostos!C23)-(Maquinas!L12+Pressupostos!C37+Pressupostos!C38+Pressupostos!C39)*12</f>
        <v>86586.013295575234</v>
      </c>
    </row>
    <row r="9" spans="2:7" x14ac:dyDescent="0.2">
      <c r="B9" s="71">
        <v>12</v>
      </c>
      <c r="C9" s="38">
        <f>(Pressupostos!C49*C$4*Pressupostos!C11*12)*(($B9/(1+Pressupostos!C7))-$B9*Pressupostos!C9-Pressupostos!C23)-(Maquinas!L12+Pressupostos!C37+Pressupostos!C38+Pressupostos!C39)*12</f>
        <v>41125.314987610633</v>
      </c>
      <c r="D9" s="38">
        <f>(Pressupostos!C49*D$4*Pressupostos!C11*12)*(($B9/(1+Pressupostos!C7))-$B9*Pressupostos!C9-Pressupostos!C23)-(Maquinas!L12+Pressupostos!C37+Pressupostos!C38+Pressupostos!C39)*12</f>
        <v>56561.882484955757</v>
      </c>
      <c r="E9" s="38">
        <f>(Pressupostos!C49*E$4*Pressupostos!C11*12)*(($B9/(1+Pressupostos!C7))-$B9*Pressupostos!C9-Pressupostos!C23)-(Maquinas!L12+Pressupostos!C37+Pressupostos!C38+Pressupostos!C39)*12</f>
        <v>71998.449982300895</v>
      </c>
      <c r="F9" s="38">
        <f>(Pressupostos!C49*F$4*Pressupostos!C11*12)*(($B9/(1+Pressupostos!C7))-$B9*Pressupostos!C9-Pressupostos!C23)-(Maquinas!L12+Pressupostos!C37+Pressupostos!C38+Pressupostos!C39)*12</f>
        <v>87435.017479646034</v>
      </c>
      <c r="G9" s="38">
        <f>(Pressupostos!C49*G$4*Pressupostos!C11*12)*(($B9/(1+Pressupostos!C7))-$B9*Pressupostos!C9-Pressupostos!C23)-(Maquinas!L12+Pressupostos!C37+Pressupostos!C38+Pressupostos!C39)*12</f>
        <v>102871.58497699117</v>
      </c>
    </row>
    <row r="11" spans="2:7" x14ac:dyDescent="0.2">
      <c r="B11" s="14" t="s">
        <v>697</v>
      </c>
    </row>
    <row r="12" spans="2:7" x14ac:dyDescent="0.2">
      <c r="B12" s="27" t="s">
        <v>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21"/>
  <sheetViews>
    <sheetView showGridLines="0" zoomScale="168" zoomScaleNormal="100" workbookViewId="0">
      <selection activeCell="C9" sqref="C9"/>
    </sheetView>
  </sheetViews>
  <sheetFormatPr baseColWidth="10" defaultColWidth="8.6640625" defaultRowHeight="15" x14ac:dyDescent="0.2"/>
  <cols>
    <col min="1" max="1" width="2.5" customWidth="1"/>
    <col min="2" max="2" width="48" customWidth="1"/>
    <col min="3" max="8" width="13" customWidth="1"/>
  </cols>
  <sheetData>
    <row r="1" spans="2:8" ht="17" x14ac:dyDescent="0.2">
      <c r="B1" s="15" t="s">
        <v>699</v>
      </c>
    </row>
    <row r="2" spans="2:8" x14ac:dyDescent="0.2">
      <c r="B2" s="13" t="s">
        <v>700</v>
      </c>
    </row>
    <row r="4" spans="2:8" x14ac:dyDescent="0.2">
      <c r="B4" s="5" t="s">
        <v>701</v>
      </c>
      <c r="C4" s="6"/>
      <c r="D4" s="6"/>
      <c r="E4" s="6"/>
      <c r="F4" s="6"/>
      <c r="G4" s="6"/>
      <c r="H4" s="6"/>
    </row>
    <row r="5" spans="2:8" x14ac:dyDescent="0.2">
      <c r="B5" s="30" t="s">
        <v>702</v>
      </c>
      <c r="C5" s="17" t="s">
        <v>703</v>
      </c>
      <c r="D5" s="17" t="s">
        <v>659</v>
      </c>
      <c r="E5" s="17" t="s">
        <v>660</v>
      </c>
      <c r="F5" s="17" t="s">
        <v>661</v>
      </c>
      <c r="G5" s="17" t="s">
        <v>662</v>
      </c>
      <c r="H5" s="17" t="s">
        <v>663</v>
      </c>
    </row>
    <row r="6" spans="2:8" x14ac:dyDescent="0.2">
      <c r="B6" s="10" t="s">
        <v>704</v>
      </c>
      <c r="C6" s="35">
        <f>-Pressupostos!C71</f>
        <v>-34640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</row>
    <row r="7" spans="2:8" x14ac:dyDescent="0.2">
      <c r="B7" s="73" t="s">
        <v>705</v>
      </c>
      <c r="C7" s="38">
        <v>0</v>
      </c>
      <c r="D7" s="35">
        <f>Tesouraria!O9</f>
        <v>55983.096899977056</v>
      </c>
      <c r="E7" s="35">
        <f>Tesouraria!P9</f>
        <v>71545.638189802921</v>
      </c>
      <c r="F7" s="35">
        <f>Tesouraria!Q9</f>
        <v>79009.126181019295</v>
      </c>
      <c r="G7" s="35">
        <f>Tesouraria!R9</f>
        <v>86837.701846854121</v>
      </c>
      <c r="H7" s="35">
        <f>Tesouraria!S9</f>
        <v>95048.948376856701</v>
      </c>
    </row>
    <row r="8" spans="2:8" x14ac:dyDescent="0.2">
      <c r="B8" s="9" t="s">
        <v>706</v>
      </c>
      <c r="C8" s="62">
        <f t="shared" ref="C8:H8" si="0">C6+C7</f>
        <v>-34640</v>
      </c>
      <c r="D8" s="62">
        <f t="shared" si="0"/>
        <v>55983.096899977056</v>
      </c>
      <c r="E8" s="62">
        <f t="shared" si="0"/>
        <v>71545.638189802921</v>
      </c>
      <c r="F8" s="62">
        <f t="shared" si="0"/>
        <v>79009.126181019295</v>
      </c>
      <c r="G8" s="62">
        <f t="shared" si="0"/>
        <v>86837.701846854121</v>
      </c>
      <c r="H8" s="62">
        <f t="shared" si="0"/>
        <v>95048.948376856701</v>
      </c>
    </row>
    <row r="9" spans="2:8" x14ac:dyDescent="0.2">
      <c r="B9" s="12" t="s">
        <v>707</v>
      </c>
      <c r="C9" s="29">
        <f>C8</f>
        <v>-34640</v>
      </c>
      <c r="D9" s="29">
        <f>C9+D8</f>
        <v>21343.096899977056</v>
      </c>
      <c r="E9" s="29">
        <f>D9+E8</f>
        <v>92888.735089779977</v>
      </c>
      <c r="F9" s="29">
        <f>E9+F8</f>
        <v>171897.86127079927</v>
      </c>
      <c r="G9" s="29">
        <f>F9+G8</f>
        <v>258735.56311765339</v>
      </c>
      <c r="H9" s="29">
        <f>G9+H8</f>
        <v>353784.51149451011</v>
      </c>
    </row>
    <row r="11" spans="2:8" x14ac:dyDescent="0.2">
      <c r="B11" s="5" t="s">
        <v>708</v>
      </c>
      <c r="C11" s="6"/>
      <c r="D11" s="6"/>
    </row>
    <row r="12" spans="2:8" x14ac:dyDescent="0.2">
      <c r="B12" s="10" t="s">
        <v>709</v>
      </c>
      <c r="C12" s="35">
        <f>Pressupostos!C71</f>
        <v>34640</v>
      </c>
    </row>
    <row r="13" spans="2:8" x14ac:dyDescent="0.2">
      <c r="B13" s="10" t="s">
        <v>710</v>
      </c>
      <c r="C13" s="38">
        <f>SUM(D7:H7)</f>
        <v>388424.51149451005</v>
      </c>
    </row>
    <row r="14" spans="2:8" x14ac:dyDescent="0.2">
      <c r="B14" s="12" t="s">
        <v>711</v>
      </c>
      <c r="C14" s="74">
        <f>C13-C12</f>
        <v>353784.51149451005</v>
      </c>
    </row>
    <row r="15" spans="2:8" x14ac:dyDescent="0.2">
      <c r="B15" s="12" t="s">
        <v>712</v>
      </c>
      <c r="C15" s="75">
        <f>C13/C12</f>
        <v>11.21317873829417</v>
      </c>
    </row>
    <row r="16" spans="2:8" x14ac:dyDescent="0.2">
      <c r="B16" s="12" t="s">
        <v>713</v>
      </c>
      <c r="C16" s="69">
        <f>IRR(C8:H8)</f>
        <v>1.8021430571545265</v>
      </c>
    </row>
    <row r="17" spans="2:3" x14ac:dyDescent="0.2">
      <c r="B17" s="12" t="s">
        <v>714</v>
      </c>
      <c r="C17" s="66">
        <f>C12/AVERAGE(D7:H7)</f>
        <v>0.44590388833493577</v>
      </c>
    </row>
    <row r="19" spans="2:3" x14ac:dyDescent="0.2">
      <c r="B19" s="76" t="s">
        <v>715</v>
      </c>
      <c r="C19" s="77">
        <f>(Pressupostos!C56+Pressupostos!C57)-Pressupostos!C69*Pressupostos!C70</f>
        <v>49950</v>
      </c>
    </row>
    <row r="20" spans="2:3" x14ac:dyDescent="0.2">
      <c r="B20" s="27" t="s">
        <v>716</v>
      </c>
    </row>
    <row r="21" spans="2:3" x14ac:dyDescent="0.2">
      <c r="B21" s="27" t="s">
        <v>717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</vt:lpstr>
      <vt:lpstr>Pressupostos</vt:lpstr>
      <vt:lpstr>Maquinas</vt:lpstr>
      <vt:lpstr>Eventos</vt:lpstr>
      <vt:lpstr>Financiamento</vt:lpstr>
      <vt:lpstr>Receita</vt:lpstr>
      <vt:lpstr>Custos</vt:lpstr>
      <vt:lpstr>DRE</vt:lpstr>
      <vt:lpstr>ResumoMultianual</vt:lpstr>
      <vt:lpstr>Tesouraria</vt:lpstr>
      <vt:lpstr>PontoCritico</vt:lpstr>
      <vt:lpstr>Sensibilidades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Veríssimo de Campos Ribeiro Carreira</cp:lastModifiedBy>
  <cp:revision>0</cp:revision>
  <dcterms:created xsi:type="dcterms:W3CDTF">2026-06-30T12:16:36Z</dcterms:created>
  <dcterms:modified xsi:type="dcterms:W3CDTF">2026-07-01T15:39:04Z</dcterms:modified>
  <dc:language>en-US</dc:language>
</cp:coreProperties>
</file>