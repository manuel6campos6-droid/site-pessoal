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manuelcarreira/Desktop/"/>
    </mc:Choice>
  </mc:AlternateContent>
  <xr:revisionPtr revIDLastSave="0" documentId="8_{50CB8CDC-CEA3-3C4B-80B4-9F5A7FB46B4D}" xr6:coauthVersionLast="47" xr6:coauthVersionMax="47" xr10:uidLastSave="{00000000-0000-0000-0000-000000000000}"/>
  <bookViews>
    <workbookView xWindow="0" yWindow="500" windowWidth="28800" windowHeight="16520" tabRatio="500" activeTab="1" xr2:uid="{00000000-000D-0000-FFFF-FFFF00000000}"/>
  </bookViews>
  <sheets>
    <sheet name="Capa_Cover" sheetId="1" r:id="rId1"/>
    <sheet name="Pressupostos_Assumpt" sheetId="2" r:id="rId2"/>
    <sheet name="Operacao_Operations" sheetId="3" r:id="rId3"/>
    <sheet name="Receita_Revenue" sheetId="4" r:id="rId4"/>
    <sheet name="Salarios_Wages" sheetId="5" r:id="rId5"/>
    <sheet name="Custos_Costs" sheetId="6" r:id="rId6"/>
    <sheet name="DRE_PL" sheetId="7" r:id="rId7"/>
    <sheet name="Tesouraria_CashFlow" sheetId="8" r:id="rId8"/>
    <sheet name="IVA_VAT" sheetId="9" r:id="rId9"/>
    <sheet name="Analise_Analysis" sheetId="10" r:id="rId10"/>
    <sheet name="Sensibilidades" sheetId="11" r:id="rId11"/>
    <sheet name="PontoCritico_BreakEven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13" i="7" l="1"/>
  <c r="M97" i="2"/>
  <c r="M4" i="3" s="1"/>
  <c r="K97" i="2"/>
  <c r="K4" i="3" s="1"/>
  <c r="K5" i="3" s="1"/>
  <c r="C28" i="12"/>
  <c r="C22" i="12"/>
  <c r="C14" i="12"/>
  <c r="D14" i="12" s="1"/>
  <c r="D13" i="12"/>
  <c r="C13" i="12"/>
  <c r="C12" i="12"/>
  <c r="D12" i="12" s="1"/>
  <c r="D11" i="12"/>
  <c r="C11" i="12"/>
  <c r="C8" i="12"/>
  <c r="D8" i="12" s="1"/>
  <c r="C7" i="12"/>
  <c r="D7" i="12" s="1"/>
  <c r="C6" i="12"/>
  <c r="D6" i="12" s="1"/>
  <c r="C5" i="12"/>
  <c r="D5" i="12" s="1"/>
  <c r="F49" i="11"/>
  <c r="E49" i="11"/>
  <c r="D49" i="11"/>
  <c r="C49" i="11"/>
  <c r="F31" i="11"/>
  <c r="C29" i="11"/>
  <c r="E25" i="11"/>
  <c r="E17" i="11"/>
  <c r="E18" i="11" s="1"/>
  <c r="E19" i="11" s="1"/>
  <c r="C17" i="11"/>
  <c r="C18" i="11" s="1"/>
  <c r="E16" i="11"/>
  <c r="C16" i="11"/>
  <c r="E15" i="11"/>
  <c r="D15" i="11"/>
  <c r="C15" i="11"/>
  <c r="E14" i="11"/>
  <c r="D14" i="11"/>
  <c r="C14" i="11"/>
  <c r="E13" i="11"/>
  <c r="C13" i="11"/>
  <c r="E12" i="11"/>
  <c r="D12" i="11"/>
  <c r="C12" i="11"/>
  <c r="C19" i="11" s="1"/>
  <c r="D10" i="11"/>
  <c r="C44" i="11" s="1"/>
  <c r="D9" i="11"/>
  <c r="D16" i="11" s="1"/>
  <c r="D8" i="11"/>
  <c r="G41" i="11" s="1"/>
  <c r="D7" i="11"/>
  <c r="D6" i="11"/>
  <c r="I17" i="9"/>
  <c r="H17" i="9"/>
  <c r="C15" i="8"/>
  <c r="C11" i="8"/>
  <c r="T9" i="8"/>
  <c r="S9" i="8"/>
  <c r="T8" i="8"/>
  <c r="S8" i="8"/>
  <c r="T10" i="7"/>
  <c r="S10" i="7"/>
  <c r="N35" i="6"/>
  <c r="R25" i="6"/>
  <c r="R35" i="6" s="1"/>
  <c r="P25" i="6"/>
  <c r="P35" i="6" s="1"/>
  <c r="O25" i="6"/>
  <c r="K25" i="6"/>
  <c r="E35" i="6" s="1"/>
  <c r="J25" i="6"/>
  <c r="I25" i="6"/>
  <c r="H25" i="6"/>
  <c r="G25" i="6"/>
  <c r="D35" i="6" s="1"/>
  <c r="C25" i="6"/>
  <c r="R24" i="6"/>
  <c r="R17" i="9" s="1"/>
  <c r="Q24" i="6"/>
  <c r="Q17" i="9" s="1"/>
  <c r="P24" i="6"/>
  <c r="P17" i="9" s="1"/>
  <c r="O24" i="6"/>
  <c r="O17" i="9" s="1"/>
  <c r="N24" i="6"/>
  <c r="M24" i="6"/>
  <c r="L24" i="6"/>
  <c r="L17" i="9" s="1"/>
  <c r="K24" i="6"/>
  <c r="K17" i="9" s="1"/>
  <c r="J24" i="6"/>
  <c r="J17" i="9" s="1"/>
  <c r="I24" i="6"/>
  <c r="H24" i="6"/>
  <c r="G24" i="6"/>
  <c r="G17" i="9" s="1"/>
  <c r="F24" i="6"/>
  <c r="E24" i="6"/>
  <c r="E17" i="9" s="1"/>
  <c r="D24" i="6"/>
  <c r="C24" i="6"/>
  <c r="C17" i="9" s="1"/>
  <c r="R17" i="3"/>
  <c r="Q17" i="3"/>
  <c r="O17" i="3"/>
  <c r="L17" i="3"/>
  <c r="L18" i="5" s="1"/>
  <c r="I17" i="3"/>
  <c r="D17" i="3"/>
  <c r="D18" i="5" s="1"/>
  <c r="Q16" i="3"/>
  <c r="P16" i="3"/>
  <c r="L16" i="3"/>
  <c r="I16" i="3"/>
  <c r="I18" i="3" s="1"/>
  <c r="H16" i="3"/>
  <c r="G16" i="3"/>
  <c r="D16" i="3"/>
  <c r="Q14" i="3"/>
  <c r="Q28" i="3" s="1"/>
  <c r="Q13" i="3"/>
  <c r="P13" i="3"/>
  <c r="P27" i="3" s="1"/>
  <c r="O13" i="3"/>
  <c r="O27" i="3" s="1"/>
  <c r="M13" i="3"/>
  <c r="I27" i="3" s="1"/>
  <c r="L13" i="3"/>
  <c r="I13" i="3"/>
  <c r="D13" i="3"/>
  <c r="Q12" i="3"/>
  <c r="L12" i="3"/>
  <c r="J12" i="3"/>
  <c r="I12" i="3"/>
  <c r="I14" i="3" s="1"/>
  <c r="D12" i="3"/>
  <c r="Q10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Q7" i="3"/>
  <c r="R6" i="3"/>
  <c r="R13" i="3" s="1"/>
  <c r="Q6" i="3"/>
  <c r="P6" i="3"/>
  <c r="O6" i="3"/>
  <c r="O12" i="3" s="1"/>
  <c r="N6" i="3"/>
  <c r="N17" i="3" s="1"/>
  <c r="M6" i="3"/>
  <c r="M12" i="3" s="1"/>
  <c r="L6" i="3"/>
  <c r="K6" i="3"/>
  <c r="J6" i="3"/>
  <c r="I6" i="3"/>
  <c r="H6" i="3"/>
  <c r="G6" i="3"/>
  <c r="G13" i="3" s="1"/>
  <c r="F6" i="3"/>
  <c r="E6" i="3"/>
  <c r="E13" i="3" s="1"/>
  <c r="D6" i="3"/>
  <c r="C6" i="3"/>
  <c r="R97" i="2"/>
  <c r="R4" i="3" s="1"/>
  <c r="R5" i="3" s="1"/>
  <c r="Q97" i="2"/>
  <c r="Q4" i="3" s="1"/>
  <c r="Q5" i="3" s="1"/>
  <c r="Q15" i="6" s="1"/>
  <c r="P97" i="2"/>
  <c r="P4" i="3" s="1"/>
  <c r="P5" i="3" s="1"/>
  <c r="O97" i="2"/>
  <c r="O4" i="3" s="1"/>
  <c r="N97" i="2"/>
  <c r="N4" i="3" s="1"/>
  <c r="N5" i="3" s="1"/>
  <c r="L97" i="2"/>
  <c r="L4" i="3" s="1"/>
  <c r="L5" i="3" s="1"/>
  <c r="J97" i="2"/>
  <c r="J4" i="3" s="1"/>
  <c r="J5" i="3" s="1"/>
  <c r="J8" i="4" s="1"/>
  <c r="I97" i="2"/>
  <c r="I4" i="3" s="1"/>
  <c r="H97" i="2"/>
  <c r="H4" i="3" s="1"/>
  <c r="H5" i="3" s="1"/>
  <c r="G97" i="2"/>
  <c r="G4" i="3" s="1"/>
  <c r="G5" i="3" s="1"/>
  <c r="F97" i="2"/>
  <c r="F4" i="3" s="1"/>
  <c r="F5" i="3" s="1"/>
  <c r="E97" i="2"/>
  <c r="E4" i="3" s="1"/>
  <c r="D97" i="2"/>
  <c r="D4" i="3" s="1"/>
  <c r="D5" i="3" s="1"/>
  <c r="C97" i="2"/>
  <c r="C4" i="3" s="1"/>
  <c r="D63" i="2"/>
  <c r="C63" i="2"/>
  <c r="D54" i="2"/>
  <c r="C54" i="2"/>
  <c r="C46" i="2"/>
  <c r="C9" i="12" s="1"/>
  <c r="D9" i="12" s="1"/>
  <c r="D45" i="2"/>
  <c r="C45" i="2"/>
  <c r="D41" i="2"/>
  <c r="D43" i="2" s="1"/>
  <c r="C41" i="2"/>
  <c r="D16" i="2"/>
  <c r="C16" i="2"/>
  <c r="C21" i="12" s="1"/>
  <c r="D11" i="2"/>
  <c r="C11" i="2"/>
  <c r="C20" i="12" s="1"/>
  <c r="D8" i="2"/>
  <c r="C8" i="2"/>
  <c r="C19" i="12" s="1"/>
  <c r="I6" i="5" l="1"/>
  <c r="E40" i="11"/>
  <c r="F30" i="3"/>
  <c r="E31" i="11"/>
  <c r="O5" i="3"/>
  <c r="O7" i="3"/>
  <c r="G37" i="3" s="1"/>
  <c r="N7" i="3"/>
  <c r="N4" i="4" s="1"/>
  <c r="F26" i="4" s="1"/>
  <c r="I7" i="3"/>
  <c r="I5" i="3"/>
  <c r="I8" i="4" s="1"/>
  <c r="S4" i="3"/>
  <c r="C5" i="3"/>
  <c r="G33" i="5"/>
  <c r="G19" i="6"/>
  <c r="G18" i="6"/>
  <c r="G15" i="6"/>
  <c r="G25" i="5"/>
  <c r="G21" i="6"/>
  <c r="G16" i="9" s="1"/>
  <c r="G8" i="4"/>
  <c r="G24" i="5"/>
  <c r="D21" i="6"/>
  <c r="D16" i="9" s="1"/>
  <c r="D19" i="6"/>
  <c r="D33" i="5"/>
  <c r="D8" i="4"/>
  <c r="D15" i="6"/>
  <c r="D18" i="6"/>
  <c r="D25" i="5"/>
  <c r="D20" i="6"/>
  <c r="L21" i="6"/>
  <c r="L16" i="9" s="1"/>
  <c r="L19" i="6"/>
  <c r="L18" i="6"/>
  <c r="L25" i="5"/>
  <c r="L15" i="6"/>
  <c r="L8" i="4"/>
  <c r="F19" i="4" s="1"/>
  <c r="L33" i="5"/>
  <c r="I6" i="4"/>
  <c r="I14" i="9" s="1"/>
  <c r="I4" i="4"/>
  <c r="I10" i="3"/>
  <c r="I5" i="4" s="1"/>
  <c r="I7" i="4"/>
  <c r="R14" i="6"/>
  <c r="R11" i="9" s="1"/>
  <c r="R27" i="3"/>
  <c r="E5" i="3"/>
  <c r="E20" i="6" s="1"/>
  <c r="E7" i="3"/>
  <c r="M5" i="3"/>
  <c r="M31" i="5" s="1"/>
  <c r="T4" i="3"/>
  <c r="K15" i="4"/>
  <c r="L15" i="4"/>
  <c r="J15" i="4"/>
  <c r="F15" i="6"/>
  <c r="F21" i="6"/>
  <c r="F16" i="9" s="1"/>
  <c r="F25" i="5"/>
  <c r="F18" i="6"/>
  <c r="F19" i="6"/>
  <c r="F33" i="5"/>
  <c r="F8" i="4"/>
  <c r="N15" i="6"/>
  <c r="N19" i="6"/>
  <c r="N33" i="5"/>
  <c r="N18" i="6"/>
  <c r="N21" i="6"/>
  <c r="N16" i="9" s="1"/>
  <c r="N25" i="5"/>
  <c r="N8" i="4"/>
  <c r="O33" i="5"/>
  <c r="O25" i="5"/>
  <c r="O19" i="6"/>
  <c r="O15" i="6"/>
  <c r="O18" i="6"/>
  <c r="O21" i="6"/>
  <c r="O16" i="9" s="1"/>
  <c r="O8" i="4"/>
  <c r="I26" i="3"/>
  <c r="H26" i="3"/>
  <c r="E39" i="3"/>
  <c r="M14" i="3"/>
  <c r="G26" i="3"/>
  <c r="P19" i="6"/>
  <c r="P21" i="6"/>
  <c r="P16" i="9" s="1"/>
  <c r="P18" i="6"/>
  <c r="P15" i="6"/>
  <c r="P33" i="5"/>
  <c r="P25" i="5"/>
  <c r="P8" i="4"/>
  <c r="P39" i="5"/>
  <c r="P45" i="5" s="1"/>
  <c r="N19" i="5"/>
  <c r="N20" i="5" s="1"/>
  <c r="N43" i="5" s="1"/>
  <c r="N18" i="5"/>
  <c r="L30" i="3"/>
  <c r="F43" i="3"/>
  <c r="K30" i="3"/>
  <c r="J30" i="3"/>
  <c r="L31" i="5"/>
  <c r="R18" i="6"/>
  <c r="R21" i="6"/>
  <c r="R16" i="9" s="1"/>
  <c r="R19" i="6"/>
  <c r="R25" i="5"/>
  <c r="R15" i="6"/>
  <c r="R8" i="4"/>
  <c r="R19" i="4" s="1"/>
  <c r="R33" i="5"/>
  <c r="G14" i="6"/>
  <c r="G11" i="9" s="1"/>
  <c r="O8" i="7"/>
  <c r="O13" i="6"/>
  <c r="O12" i="9" s="1"/>
  <c r="O12" i="6"/>
  <c r="O11" i="6"/>
  <c r="G39" i="3"/>
  <c r="O26" i="3"/>
  <c r="N26" i="3"/>
  <c r="O14" i="3"/>
  <c r="M26" i="3"/>
  <c r="Q9" i="5"/>
  <c r="Q39" i="5"/>
  <c r="Q45" i="5" s="1"/>
  <c r="Q7" i="5"/>
  <c r="Q8" i="5"/>
  <c r="Q6" i="5"/>
  <c r="J32" i="5"/>
  <c r="H39" i="5"/>
  <c r="H45" i="5" s="1"/>
  <c r="H8" i="6" s="1"/>
  <c r="H8" i="9" s="1"/>
  <c r="H7" i="5"/>
  <c r="H8" i="5"/>
  <c r="H6" i="5"/>
  <c r="I21" i="6"/>
  <c r="I16" i="9" s="1"/>
  <c r="I18" i="6"/>
  <c r="I15" i="6"/>
  <c r="I19" i="6"/>
  <c r="I25" i="5"/>
  <c r="I33" i="5"/>
  <c r="C20" i="6"/>
  <c r="C17" i="3"/>
  <c r="C16" i="3"/>
  <c r="K20" i="6"/>
  <c r="K13" i="3"/>
  <c r="K12" i="3"/>
  <c r="C7" i="3"/>
  <c r="J18" i="6"/>
  <c r="J25" i="5"/>
  <c r="J15" i="6"/>
  <c r="J33" i="5"/>
  <c r="J19" i="6"/>
  <c r="J21" i="6"/>
  <c r="J16" i="9" s="1"/>
  <c r="L7" i="3"/>
  <c r="J13" i="6"/>
  <c r="J12" i="9" s="1"/>
  <c r="J12" i="6"/>
  <c r="J11" i="6"/>
  <c r="J8" i="7"/>
  <c r="J5" i="8" s="1"/>
  <c r="K15" i="6"/>
  <c r="K25" i="5"/>
  <c r="K21" i="6"/>
  <c r="K16" i="9" s="1"/>
  <c r="K33" i="5"/>
  <c r="K19" i="6"/>
  <c r="K18" i="6"/>
  <c r="O14" i="6"/>
  <c r="O11" i="9" s="1"/>
  <c r="O19" i="5"/>
  <c r="O20" i="5" s="1"/>
  <c r="O43" i="5" s="1"/>
  <c r="O18" i="5"/>
  <c r="O30" i="3"/>
  <c r="Q29" i="3"/>
  <c r="M30" i="3"/>
  <c r="G40" i="3"/>
  <c r="N6" i="4"/>
  <c r="K8" i="4"/>
  <c r="E19" i="4" s="1"/>
  <c r="J24" i="5"/>
  <c r="C27" i="12"/>
  <c r="C29" i="12" s="1"/>
  <c r="L7" i="5"/>
  <c r="N20" i="6"/>
  <c r="N13" i="3"/>
  <c r="T13" i="3" s="1"/>
  <c r="Q6" i="4"/>
  <c r="Q4" i="4"/>
  <c r="Q19" i="5"/>
  <c r="Q20" i="5" s="1"/>
  <c r="Q43" i="5" s="1"/>
  <c r="Q18" i="5"/>
  <c r="Q30" i="3"/>
  <c r="N30" i="3"/>
  <c r="O23" i="5"/>
  <c r="Q24" i="5"/>
  <c r="N24" i="5"/>
  <c r="R24" i="5"/>
  <c r="P24" i="5"/>
  <c r="D46" i="2"/>
  <c r="O24" i="5"/>
  <c r="R23" i="5"/>
  <c r="Q23" i="5"/>
  <c r="N23" i="5"/>
  <c r="P23" i="5"/>
  <c r="L14" i="6"/>
  <c r="L11" i="9" s="1"/>
  <c r="G39" i="5"/>
  <c r="G45" i="5" s="1"/>
  <c r="G8" i="5"/>
  <c r="G9" i="5"/>
  <c r="G6" i="5"/>
  <c r="G7" i="5"/>
  <c r="O7" i="4"/>
  <c r="N24" i="3"/>
  <c r="M24" i="3"/>
  <c r="Q5" i="4"/>
  <c r="Q16" i="4" s="1"/>
  <c r="C13" i="3"/>
  <c r="M17" i="3"/>
  <c r="M16" i="3"/>
  <c r="F7" i="3"/>
  <c r="P7" i="3"/>
  <c r="D14" i="6"/>
  <c r="D11" i="9" s="1"/>
  <c r="C23" i="12"/>
  <c r="C43" i="2"/>
  <c r="Q32" i="5"/>
  <c r="M32" i="5"/>
  <c r="O31" i="5"/>
  <c r="R31" i="5"/>
  <c r="R32" i="5"/>
  <c r="P32" i="5"/>
  <c r="O32" i="5"/>
  <c r="Q31" i="5"/>
  <c r="N32" i="5"/>
  <c r="P31" i="5"/>
  <c r="N31" i="5"/>
  <c r="H20" i="6"/>
  <c r="H17" i="3"/>
  <c r="H18" i="3" s="1"/>
  <c r="H12" i="3"/>
  <c r="P20" i="6"/>
  <c r="P17" i="3"/>
  <c r="P12" i="3"/>
  <c r="E12" i="3"/>
  <c r="H13" i="3"/>
  <c r="H14" i="6" s="1"/>
  <c r="H11" i="9" s="1"/>
  <c r="D8" i="5"/>
  <c r="D9" i="5"/>
  <c r="D6" i="5"/>
  <c r="D7" i="5"/>
  <c r="D39" i="5"/>
  <c r="D45" i="5" s="1"/>
  <c r="D8" i="6" s="1"/>
  <c r="D8" i="9" s="1"/>
  <c r="D18" i="3"/>
  <c r="N16" i="3"/>
  <c r="G17" i="3"/>
  <c r="G18" i="3" s="1"/>
  <c r="Q18" i="3"/>
  <c r="Q31" i="3" s="1"/>
  <c r="O24" i="3"/>
  <c r="H19" i="6"/>
  <c r="H18" i="6"/>
  <c r="H15" i="6"/>
  <c r="H25" i="5"/>
  <c r="H8" i="4"/>
  <c r="H21" i="6"/>
  <c r="H16" i="9" s="1"/>
  <c r="H33" i="5"/>
  <c r="F20" i="6"/>
  <c r="F13" i="3"/>
  <c r="F14" i="6" s="1"/>
  <c r="F11" i="9" s="1"/>
  <c r="G7" i="3"/>
  <c r="C12" i="3"/>
  <c r="P14" i="6"/>
  <c r="P11" i="9" s="1"/>
  <c r="K16" i="3"/>
  <c r="E17" i="3"/>
  <c r="F27" i="3"/>
  <c r="H40" i="3"/>
  <c r="O6" i="4"/>
  <c r="Q7" i="4"/>
  <c r="Q18" i="4" s="1"/>
  <c r="Q19" i="6"/>
  <c r="Q25" i="5"/>
  <c r="Q18" i="6"/>
  <c r="Q33" i="5"/>
  <c r="Q21" i="6"/>
  <c r="Q16" i="9" s="1"/>
  <c r="Q8" i="4"/>
  <c r="Q19" i="4" s="1"/>
  <c r="O20" i="6"/>
  <c r="D8" i="7"/>
  <c r="D5" i="8" s="1"/>
  <c r="D12" i="6"/>
  <c r="D11" i="6"/>
  <c r="D14" i="3"/>
  <c r="D13" i="6"/>
  <c r="D12" i="9" s="1"/>
  <c r="N12" i="3"/>
  <c r="F17" i="3"/>
  <c r="G43" i="3"/>
  <c r="K7" i="3"/>
  <c r="N10" i="3"/>
  <c r="F12" i="3"/>
  <c r="Q11" i="6"/>
  <c r="Q13" i="6"/>
  <c r="Q12" i="9" s="1"/>
  <c r="Q12" i="6"/>
  <c r="Q8" i="7"/>
  <c r="Q26" i="3"/>
  <c r="I14" i="6"/>
  <c r="I11" i="9" s="1"/>
  <c r="E16" i="3"/>
  <c r="O16" i="3"/>
  <c r="I18" i="5"/>
  <c r="I19" i="5"/>
  <c r="I20" i="5" s="1"/>
  <c r="I43" i="5" s="1"/>
  <c r="I6" i="6" s="1"/>
  <c r="I9" i="9" s="1"/>
  <c r="M27" i="3"/>
  <c r="H9" i="5"/>
  <c r="L19" i="5"/>
  <c r="L20" i="5" s="1"/>
  <c r="L43" i="5" s="1"/>
  <c r="N7" i="4"/>
  <c r="L24" i="3"/>
  <c r="J24" i="3"/>
  <c r="I8" i="7"/>
  <c r="I5" i="8" s="1"/>
  <c r="I12" i="6"/>
  <c r="I11" i="6"/>
  <c r="I13" i="6"/>
  <c r="I12" i="9" s="1"/>
  <c r="D7" i="3"/>
  <c r="E40" i="3"/>
  <c r="H27" i="3"/>
  <c r="L8" i="7"/>
  <c r="L12" i="6"/>
  <c r="L11" i="6"/>
  <c r="L13" i="6"/>
  <c r="L12" i="9" s="1"/>
  <c r="L14" i="3"/>
  <c r="F28" i="3" s="1"/>
  <c r="F26" i="3"/>
  <c r="C10" i="12"/>
  <c r="D10" i="12" s="1"/>
  <c r="I32" i="5"/>
  <c r="K31" i="5"/>
  <c r="C31" i="5"/>
  <c r="E32" i="5"/>
  <c r="G31" i="5"/>
  <c r="L32" i="5"/>
  <c r="I31" i="5"/>
  <c r="K32" i="5"/>
  <c r="H31" i="5"/>
  <c r="F32" i="5"/>
  <c r="J31" i="5"/>
  <c r="D32" i="5"/>
  <c r="F31" i="5"/>
  <c r="C32" i="5"/>
  <c r="E31" i="5"/>
  <c r="D31" i="5"/>
  <c r="H32" i="5"/>
  <c r="G20" i="6"/>
  <c r="H7" i="3"/>
  <c r="R7" i="3"/>
  <c r="Q14" i="6"/>
  <c r="Q11" i="9" s="1"/>
  <c r="Q27" i="3"/>
  <c r="R19" i="5"/>
  <c r="R20" i="5" s="1"/>
  <c r="R43" i="5" s="1"/>
  <c r="R18" i="5"/>
  <c r="R30" i="3"/>
  <c r="K24" i="3"/>
  <c r="G27" i="3"/>
  <c r="E24" i="5"/>
  <c r="G23" i="5"/>
  <c r="I24" i="5"/>
  <c r="K23" i="5"/>
  <c r="C23" i="5"/>
  <c r="C24" i="5"/>
  <c r="J23" i="5"/>
  <c r="F24" i="5"/>
  <c r="L23" i="5"/>
  <c r="D24" i="5"/>
  <c r="I23" i="5"/>
  <c r="H23" i="5"/>
  <c r="L24" i="5"/>
  <c r="F23" i="5"/>
  <c r="K24" i="5"/>
  <c r="E23" i="5"/>
  <c r="H24" i="5"/>
  <c r="D23" i="5"/>
  <c r="J20" i="6"/>
  <c r="J16" i="3"/>
  <c r="J7" i="3"/>
  <c r="J17" i="3"/>
  <c r="R20" i="6"/>
  <c r="R16" i="3"/>
  <c r="H42" i="3" s="1"/>
  <c r="M7" i="3"/>
  <c r="O10" i="3"/>
  <c r="G12" i="3"/>
  <c r="R12" i="3"/>
  <c r="J13" i="3"/>
  <c r="J14" i="6" s="1"/>
  <c r="J11" i="9" s="1"/>
  <c r="F16" i="3"/>
  <c r="P6" i="5"/>
  <c r="P9" i="5"/>
  <c r="P7" i="5"/>
  <c r="P29" i="3"/>
  <c r="P8" i="5"/>
  <c r="K17" i="3"/>
  <c r="Q24" i="3"/>
  <c r="Q25" i="3"/>
  <c r="N27" i="3"/>
  <c r="F37" i="3"/>
  <c r="O4" i="4"/>
  <c r="G32" i="5"/>
  <c r="I9" i="5"/>
  <c r="I7" i="5"/>
  <c r="I8" i="5"/>
  <c r="I39" i="5"/>
  <c r="I45" i="5" s="1"/>
  <c r="I8" i="6" s="1"/>
  <c r="I8" i="9" s="1"/>
  <c r="D45" i="6"/>
  <c r="I20" i="6"/>
  <c r="Q20" i="6"/>
  <c r="Q13" i="9" s="1"/>
  <c r="L8" i="5"/>
  <c r="L39" i="5"/>
  <c r="L45" i="5" s="1"/>
  <c r="L6" i="5"/>
  <c r="L9" i="5"/>
  <c r="L18" i="3"/>
  <c r="F31" i="3" s="1"/>
  <c r="F29" i="3"/>
  <c r="D19" i="5"/>
  <c r="D20" i="5" s="1"/>
  <c r="D43" i="5" s="1"/>
  <c r="D6" i="6" s="1"/>
  <c r="D9" i="9" s="1"/>
  <c r="L20" i="6"/>
  <c r="S24" i="6"/>
  <c r="O35" i="6"/>
  <c r="G45" i="6"/>
  <c r="M35" i="6"/>
  <c r="S25" i="6"/>
  <c r="C15" i="10" s="1"/>
  <c r="H45" i="6"/>
  <c r="M25" i="6"/>
  <c r="T24" i="6"/>
  <c r="E25" i="6"/>
  <c r="M17" i="9"/>
  <c r="T17" i="9" s="1"/>
  <c r="D17" i="9"/>
  <c r="S17" i="9" s="1"/>
  <c r="D25" i="6"/>
  <c r="C45" i="6" s="1"/>
  <c r="L25" i="6"/>
  <c r="F35" i="6" s="1"/>
  <c r="F17" i="9"/>
  <c r="F25" i="6"/>
  <c r="N17" i="9"/>
  <c r="N25" i="6"/>
  <c r="Q25" i="6"/>
  <c r="Q35" i="6" s="1"/>
  <c r="F27" i="11"/>
  <c r="D37" i="11"/>
  <c r="C42" i="8"/>
  <c r="G38" i="11"/>
  <c r="G40" i="11"/>
  <c r="D39" i="11"/>
  <c r="F37" i="11"/>
  <c r="C33" i="11"/>
  <c r="E29" i="11"/>
  <c r="G25" i="11"/>
  <c r="D23" i="11"/>
  <c r="C23" i="11"/>
  <c r="F25" i="11"/>
  <c r="D29" i="11"/>
  <c r="G31" i="11"/>
  <c r="E37" i="11"/>
  <c r="C39" i="11"/>
  <c r="F40" i="11"/>
  <c r="C45" i="11"/>
  <c r="E23" i="11"/>
  <c r="C27" i="11"/>
  <c r="F29" i="11"/>
  <c r="D33" i="11"/>
  <c r="G37" i="11"/>
  <c r="E39" i="11"/>
  <c r="C41" i="11"/>
  <c r="F23" i="11"/>
  <c r="D27" i="11"/>
  <c r="G29" i="11"/>
  <c r="E33" i="11"/>
  <c r="C38" i="11"/>
  <c r="F39" i="11"/>
  <c r="D41" i="11"/>
  <c r="D13" i="11"/>
  <c r="D17" i="11" s="1"/>
  <c r="D18" i="11" s="1"/>
  <c r="D19" i="11" s="1"/>
  <c r="G23" i="11"/>
  <c r="E27" i="11"/>
  <c r="C31" i="11"/>
  <c r="F33" i="11"/>
  <c r="D38" i="11"/>
  <c r="G39" i="11"/>
  <c r="E41" i="11"/>
  <c r="C25" i="11"/>
  <c r="D31" i="11"/>
  <c r="G33" i="11"/>
  <c r="E38" i="11"/>
  <c r="C40" i="11"/>
  <c r="F41" i="11"/>
  <c r="D25" i="11"/>
  <c r="G27" i="11"/>
  <c r="C37" i="11"/>
  <c r="F38" i="11"/>
  <c r="D40" i="11"/>
  <c r="E14" i="6" l="1"/>
  <c r="E11" i="9" s="1"/>
  <c r="M13" i="6"/>
  <c r="M20" i="6"/>
  <c r="M24" i="5"/>
  <c r="T24" i="5" s="1"/>
  <c r="M14" i="6"/>
  <c r="M11" i="9" s="1"/>
  <c r="M11" i="6"/>
  <c r="M10" i="9" s="1"/>
  <c r="K13" i="9"/>
  <c r="I9" i="4"/>
  <c r="I13" i="9"/>
  <c r="F13" i="9"/>
  <c r="S24" i="5"/>
  <c r="H13" i="9"/>
  <c r="T31" i="5"/>
  <c r="M35" i="5"/>
  <c r="R39" i="5"/>
  <c r="R45" i="5" s="1"/>
  <c r="H66" i="5" s="1"/>
  <c r="R9" i="5"/>
  <c r="R7" i="5"/>
  <c r="R8" i="5"/>
  <c r="R18" i="3"/>
  <c r="R31" i="3" s="1"/>
  <c r="R29" i="3"/>
  <c r="R6" i="5"/>
  <c r="E27" i="5"/>
  <c r="H6" i="4"/>
  <c r="H14" i="9" s="1"/>
  <c r="H4" i="4"/>
  <c r="H7" i="4"/>
  <c r="H10" i="3"/>
  <c r="H5" i="4" s="1"/>
  <c r="J35" i="5"/>
  <c r="J34" i="5"/>
  <c r="C35" i="5"/>
  <c r="S31" i="5"/>
  <c r="I10" i="9"/>
  <c r="I16" i="6"/>
  <c r="N11" i="6"/>
  <c r="N8" i="7"/>
  <c r="N12" i="6"/>
  <c r="L26" i="3"/>
  <c r="N13" i="6"/>
  <c r="N12" i="9" s="1"/>
  <c r="F39" i="3"/>
  <c r="N14" i="3"/>
  <c r="J26" i="3"/>
  <c r="K26" i="3"/>
  <c r="C8" i="5"/>
  <c r="C39" i="5"/>
  <c r="C9" i="5"/>
  <c r="C6" i="5"/>
  <c r="C7" i="5"/>
  <c r="C18" i="3"/>
  <c r="C29" i="3"/>
  <c r="S16" i="3"/>
  <c r="C42" i="3"/>
  <c r="Q13" i="5"/>
  <c r="Q11" i="5"/>
  <c r="Q12" i="5"/>
  <c r="Q14" i="5" s="1"/>
  <c r="Q10" i="5"/>
  <c r="O10" i="9"/>
  <c r="O16" i="6"/>
  <c r="H30" i="4"/>
  <c r="P19" i="4"/>
  <c r="E41" i="3"/>
  <c r="G28" i="3"/>
  <c r="I28" i="3"/>
  <c r="H28" i="3"/>
  <c r="M8" i="7"/>
  <c r="M23" i="5"/>
  <c r="D15" i="9"/>
  <c r="D22" i="6"/>
  <c r="J19" i="5"/>
  <c r="J20" i="5" s="1"/>
  <c r="J43" i="5" s="1"/>
  <c r="J6" i="6" s="1"/>
  <c r="J9" i="9" s="1"/>
  <c r="J18" i="5"/>
  <c r="H19" i="5"/>
  <c r="H20" i="5" s="1"/>
  <c r="H43" i="5" s="1"/>
  <c r="H6" i="6" s="1"/>
  <c r="H9" i="9" s="1"/>
  <c r="H18" i="5"/>
  <c r="H35" i="6"/>
  <c r="G35" i="6"/>
  <c r="T25" i="6"/>
  <c r="I35" i="6"/>
  <c r="E45" i="6"/>
  <c r="I13" i="5"/>
  <c r="I11" i="5"/>
  <c r="I10" i="5"/>
  <c r="I12" i="5"/>
  <c r="J26" i="5"/>
  <c r="J27" i="5"/>
  <c r="K35" i="5"/>
  <c r="K34" i="5"/>
  <c r="K36" i="5" s="1"/>
  <c r="F24" i="7"/>
  <c r="L5" i="8"/>
  <c r="F29" i="8" s="1"/>
  <c r="E19" i="5"/>
  <c r="E20" i="5" s="1"/>
  <c r="E43" i="5" s="1"/>
  <c r="E6" i="6" s="1"/>
  <c r="E9" i="9" s="1"/>
  <c r="E18" i="5"/>
  <c r="G19" i="5"/>
  <c r="G20" i="5" s="1"/>
  <c r="G43" i="5" s="1"/>
  <c r="G18" i="5"/>
  <c r="D30" i="3"/>
  <c r="D43" i="3"/>
  <c r="J14" i="3"/>
  <c r="P6" i="4"/>
  <c r="P7" i="4"/>
  <c r="P24" i="3"/>
  <c r="P10" i="3"/>
  <c r="H37" i="3"/>
  <c r="P4" i="4"/>
  <c r="G8" i="6"/>
  <c r="G8" i="9" s="1"/>
  <c r="M54" i="5"/>
  <c r="O54" i="5"/>
  <c r="N54" i="5"/>
  <c r="O6" i="6"/>
  <c r="O9" i="9" s="1"/>
  <c r="G64" i="5"/>
  <c r="J13" i="9"/>
  <c r="C19" i="5"/>
  <c r="C18" i="5"/>
  <c r="S17" i="3"/>
  <c r="C30" i="3"/>
  <c r="C43" i="3"/>
  <c r="Q56" i="5"/>
  <c r="Q8" i="6"/>
  <c r="Q8" i="9" s="1"/>
  <c r="R13" i="9"/>
  <c r="F30" i="4"/>
  <c r="K19" i="4"/>
  <c r="L19" i="4"/>
  <c r="J19" i="4"/>
  <c r="L13" i="9"/>
  <c r="D13" i="9"/>
  <c r="Q10" i="9"/>
  <c r="Q16" i="6"/>
  <c r="Q33" i="6" s="1"/>
  <c r="Q15" i="9"/>
  <c r="Q22" i="6"/>
  <c r="Q34" i="6" s="1"/>
  <c r="K8" i="5"/>
  <c r="K39" i="5"/>
  <c r="K45" i="5" s="1"/>
  <c r="K6" i="5"/>
  <c r="K9" i="5"/>
  <c r="E29" i="3"/>
  <c r="K7" i="5"/>
  <c r="K18" i="3"/>
  <c r="E31" i="3" s="1"/>
  <c r="N8" i="5"/>
  <c r="N39" i="5"/>
  <c r="N45" i="5" s="1"/>
  <c r="F42" i="3"/>
  <c r="L29" i="3"/>
  <c r="N18" i="3"/>
  <c r="N6" i="5"/>
  <c r="N9" i="5"/>
  <c r="N7" i="5"/>
  <c r="J29" i="3"/>
  <c r="K29" i="3"/>
  <c r="N35" i="5"/>
  <c r="N34" i="5"/>
  <c r="R34" i="5"/>
  <c r="R36" i="5" s="1"/>
  <c r="R35" i="5"/>
  <c r="F7" i="4"/>
  <c r="F6" i="4"/>
  <c r="F14" i="9" s="1"/>
  <c r="F4" i="4"/>
  <c r="F10" i="3"/>
  <c r="F5" i="4" s="1"/>
  <c r="Q54" i="5"/>
  <c r="Q6" i="6"/>
  <c r="Q9" i="9" s="1"/>
  <c r="J10" i="9"/>
  <c r="J16" i="6"/>
  <c r="S20" i="6"/>
  <c r="T12" i="3"/>
  <c r="G30" i="4"/>
  <c r="N19" i="4"/>
  <c r="M19" i="4"/>
  <c r="O19" i="4"/>
  <c r="G13" i="9"/>
  <c r="C35" i="6"/>
  <c r="K19" i="5"/>
  <c r="K20" i="5" s="1"/>
  <c r="K43" i="5" s="1"/>
  <c r="K18" i="5"/>
  <c r="E30" i="3"/>
  <c r="J10" i="3"/>
  <c r="J5" i="4" s="1"/>
  <c r="J4" i="4"/>
  <c r="J7" i="4"/>
  <c r="J6" i="4"/>
  <c r="J14" i="9" s="1"/>
  <c r="C27" i="5"/>
  <c r="S23" i="5"/>
  <c r="D35" i="5"/>
  <c r="D34" i="5"/>
  <c r="O39" i="5"/>
  <c r="O45" i="5" s="1"/>
  <c r="O8" i="5"/>
  <c r="O6" i="5"/>
  <c r="O9" i="5"/>
  <c r="O7" i="5"/>
  <c r="O29" i="3"/>
  <c r="M29" i="3"/>
  <c r="O18" i="3"/>
  <c r="G42" i="3"/>
  <c r="N29" i="3"/>
  <c r="F11" i="6"/>
  <c r="F13" i="6"/>
  <c r="F12" i="9" s="1"/>
  <c r="F12" i="6"/>
  <c r="F8" i="7"/>
  <c r="F5" i="8" s="1"/>
  <c r="F14" i="3"/>
  <c r="D10" i="9"/>
  <c r="D16" i="6"/>
  <c r="E8" i="7"/>
  <c r="E5" i="8" s="1"/>
  <c r="E11" i="6"/>
  <c r="E13" i="6"/>
  <c r="E12" i="9" s="1"/>
  <c r="E12" i="6"/>
  <c r="E14" i="3"/>
  <c r="O35" i="5"/>
  <c r="O34" i="5"/>
  <c r="O36" i="5" s="1"/>
  <c r="M9" i="5"/>
  <c r="M7" i="5"/>
  <c r="M6" i="5"/>
  <c r="M39" i="5"/>
  <c r="G29" i="3"/>
  <c r="M18" i="3"/>
  <c r="I29" i="3"/>
  <c r="M8" i="5"/>
  <c r="H29" i="3"/>
  <c r="T16" i="3"/>
  <c r="E42" i="3"/>
  <c r="G29" i="4"/>
  <c r="O18" i="4"/>
  <c r="N18" i="4"/>
  <c r="M18" i="4"/>
  <c r="P27" i="5"/>
  <c r="P26" i="5"/>
  <c r="Q15" i="4"/>
  <c r="Q9" i="4"/>
  <c r="N14" i="9"/>
  <c r="K17" i="4"/>
  <c r="L17" i="4"/>
  <c r="J17" i="4"/>
  <c r="F28" i="4"/>
  <c r="K15" i="9"/>
  <c r="K22" i="6"/>
  <c r="E34" i="6" s="1"/>
  <c r="J15" i="9"/>
  <c r="J22" i="6"/>
  <c r="H10" i="5"/>
  <c r="H12" i="5"/>
  <c r="H11" i="5"/>
  <c r="H13" i="5"/>
  <c r="O5" i="8"/>
  <c r="G38" i="7"/>
  <c r="O24" i="7"/>
  <c r="N24" i="7"/>
  <c r="M24" i="7"/>
  <c r="P13" i="9"/>
  <c r="F15" i="9"/>
  <c r="F22" i="6"/>
  <c r="L15" i="9"/>
  <c r="L22" i="6"/>
  <c r="F34" i="6" s="1"/>
  <c r="G15" i="9"/>
  <c r="G22" i="6"/>
  <c r="G26" i="4"/>
  <c r="N15" i="4"/>
  <c r="M15" i="4"/>
  <c r="O15" i="4"/>
  <c r="O9" i="4"/>
  <c r="R13" i="6"/>
  <c r="R12" i="9" s="1"/>
  <c r="R8" i="7"/>
  <c r="R11" i="6"/>
  <c r="R12" i="6"/>
  <c r="R26" i="3"/>
  <c r="R14" i="3"/>
  <c r="R28" i="3" s="1"/>
  <c r="J8" i="5"/>
  <c r="J39" i="5"/>
  <c r="J45" i="5" s="1"/>
  <c r="J8" i="6" s="1"/>
  <c r="J8" i="9" s="1"/>
  <c r="J9" i="5"/>
  <c r="J7" i="5"/>
  <c r="J18" i="3"/>
  <c r="D31" i="3" s="1"/>
  <c r="J6" i="5"/>
  <c r="H26" i="5"/>
  <c r="H27" i="5"/>
  <c r="K27" i="5"/>
  <c r="K26" i="5"/>
  <c r="R6" i="6"/>
  <c r="R9" i="9" s="1"/>
  <c r="R54" i="5"/>
  <c r="E35" i="5"/>
  <c r="I34" i="5"/>
  <c r="I35" i="5"/>
  <c r="E9" i="5"/>
  <c r="E7" i="5"/>
  <c r="E6" i="5"/>
  <c r="E39" i="5"/>
  <c r="E45" i="5" s="1"/>
  <c r="E8" i="6" s="1"/>
  <c r="E8" i="9" s="1"/>
  <c r="E8" i="5"/>
  <c r="E18" i="3"/>
  <c r="F38" i="3"/>
  <c r="L25" i="3"/>
  <c r="J25" i="3"/>
  <c r="K25" i="3"/>
  <c r="N5" i="4"/>
  <c r="C8" i="7"/>
  <c r="C11" i="6"/>
  <c r="C12" i="6"/>
  <c r="C13" i="6"/>
  <c r="C14" i="3"/>
  <c r="C39" i="3"/>
  <c r="S12" i="3"/>
  <c r="C26" i="3"/>
  <c r="P8" i="7"/>
  <c r="H39" i="3"/>
  <c r="P11" i="6"/>
  <c r="P13" i="6"/>
  <c r="P12" i="9" s="1"/>
  <c r="P12" i="6"/>
  <c r="P14" i="3"/>
  <c r="P26" i="3"/>
  <c r="P35" i="5"/>
  <c r="P34" i="5"/>
  <c r="P36" i="5" s="1"/>
  <c r="T32" i="5"/>
  <c r="M18" i="5"/>
  <c r="M19" i="5"/>
  <c r="E43" i="3"/>
  <c r="I30" i="3"/>
  <c r="H30" i="3"/>
  <c r="G30" i="3"/>
  <c r="T17" i="3"/>
  <c r="G10" i="5"/>
  <c r="G12" i="5"/>
  <c r="G13" i="5"/>
  <c r="G11" i="5"/>
  <c r="N27" i="5"/>
  <c r="N26" i="5"/>
  <c r="Q14" i="9"/>
  <c r="Q17" i="4"/>
  <c r="C6" i="4"/>
  <c r="C7" i="4"/>
  <c r="C37" i="3"/>
  <c r="C24" i="3"/>
  <c r="S7" i="3"/>
  <c r="C10" i="3"/>
  <c r="C4" i="4"/>
  <c r="N28" i="3"/>
  <c r="G41" i="3"/>
  <c r="M28" i="3"/>
  <c r="O28" i="3"/>
  <c r="D40" i="3"/>
  <c r="P15" i="9"/>
  <c r="P22" i="6"/>
  <c r="O15" i="9"/>
  <c r="O22" i="6"/>
  <c r="N15" i="9"/>
  <c r="N22" i="6"/>
  <c r="D42" i="3"/>
  <c r="G13" i="6"/>
  <c r="G12" i="9" s="1"/>
  <c r="G11" i="6"/>
  <c r="G12" i="6"/>
  <c r="G8" i="7"/>
  <c r="D26" i="3"/>
  <c r="D39" i="3"/>
  <c r="G14" i="3"/>
  <c r="I26" i="5"/>
  <c r="I28" i="5" s="1"/>
  <c r="I27" i="5"/>
  <c r="S32" i="5"/>
  <c r="F29" i="4"/>
  <c r="J18" i="4"/>
  <c r="L18" i="4"/>
  <c r="K18" i="4"/>
  <c r="K4" i="4"/>
  <c r="E24" i="3"/>
  <c r="K6" i="4"/>
  <c r="K10" i="3"/>
  <c r="K7" i="4"/>
  <c r="E18" i="4" s="1"/>
  <c r="G7" i="4"/>
  <c r="D37" i="3"/>
  <c r="D24" i="3"/>
  <c r="G6" i="4"/>
  <c r="G4" i="4"/>
  <c r="G10" i="3"/>
  <c r="H15" i="9"/>
  <c r="H22" i="6"/>
  <c r="D13" i="5"/>
  <c r="D11" i="5"/>
  <c r="D10" i="5"/>
  <c r="D12" i="5"/>
  <c r="H43" i="3"/>
  <c r="P19" i="5"/>
  <c r="P20" i="5" s="1"/>
  <c r="P43" i="5" s="1"/>
  <c r="P30" i="3"/>
  <c r="P18" i="3"/>
  <c r="P18" i="5"/>
  <c r="T20" i="6"/>
  <c r="D29" i="3"/>
  <c r="Q26" i="5"/>
  <c r="Q27" i="5"/>
  <c r="O27" i="5"/>
  <c r="O26" i="5"/>
  <c r="N14" i="6"/>
  <c r="N11" i="9" s="1"/>
  <c r="L27" i="3"/>
  <c r="K27" i="3"/>
  <c r="J27" i="3"/>
  <c r="F40" i="3"/>
  <c r="L4" i="4"/>
  <c r="L6" i="4"/>
  <c r="L10" i="3"/>
  <c r="L7" i="4"/>
  <c r="F18" i="4" s="1"/>
  <c r="F24" i="3"/>
  <c r="K13" i="6"/>
  <c r="K12" i="9" s="1"/>
  <c r="K8" i="7"/>
  <c r="K12" i="6"/>
  <c r="K11" i="6"/>
  <c r="K14" i="3"/>
  <c r="E28" i="3" s="1"/>
  <c r="E26" i="3"/>
  <c r="D27" i="3"/>
  <c r="R15" i="9"/>
  <c r="R22" i="6"/>
  <c r="R34" i="6" s="1"/>
  <c r="O13" i="9"/>
  <c r="M21" i="6"/>
  <c r="M15" i="6"/>
  <c r="M8" i="4"/>
  <c r="M33" i="5"/>
  <c r="T33" i="5" s="1"/>
  <c r="M19" i="6"/>
  <c r="T19" i="6" s="1"/>
  <c r="M18" i="6"/>
  <c r="M25" i="5"/>
  <c r="T25" i="5" s="1"/>
  <c r="I5" i="9"/>
  <c r="I4" i="7"/>
  <c r="I20" i="8"/>
  <c r="L8" i="6"/>
  <c r="L8" i="9" s="1"/>
  <c r="F56" i="5"/>
  <c r="F39" i="5"/>
  <c r="F45" i="5" s="1"/>
  <c r="F8" i="6" s="1"/>
  <c r="F8" i="9" s="1"/>
  <c r="F9" i="5"/>
  <c r="F6" i="5"/>
  <c r="F18" i="3"/>
  <c r="F7" i="5"/>
  <c r="F8" i="5"/>
  <c r="H34" i="5"/>
  <c r="H35" i="5"/>
  <c r="G38" i="3"/>
  <c r="O25" i="3"/>
  <c r="M25" i="3"/>
  <c r="N25" i="3"/>
  <c r="O5" i="4"/>
  <c r="D27" i="5"/>
  <c r="D26" i="5"/>
  <c r="D28" i="5" s="1"/>
  <c r="F35" i="5"/>
  <c r="F34" i="5"/>
  <c r="G35" i="5"/>
  <c r="G34" i="5"/>
  <c r="D4" i="4"/>
  <c r="D7" i="4"/>
  <c r="D10" i="3"/>
  <c r="D5" i="4" s="1"/>
  <c r="D6" i="4"/>
  <c r="D14" i="9" s="1"/>
  <c r="F54" i="5"/>
  <c r="L6" i="6"/>
  <c r="L9" i="9" s="1"/>
  <c r="O14" i="9"/>
  <c r="N17" i="4"/>
  <c r="G28" i="4"/>
  <c r="M17" i="4"/>
  <c r="O17" i="4"/>
  <c r="Q34" i="5"/>
  <c r="Q35" i="5"/>
  <c r="R26" i="5"/>
  <c r="R27" i="5"/>
  <c r="K14" i="6"/>
  <c r="K11" i="9" s="1"/>
  <c r="E27" i="3"/>
  <c r="N6" i="6"/>
  <c r="N9" i="9" s="1"/>
  <c r="F64" i="5"/>
  <c r="L54" i="5"/>
  <c r="J54" i="5"/>
  <c r="K54" i="5"/>
  <c r="T13" i="6"/>
  <c r="M12" i="9"/>
  <c r="T12" i="9" s="1"/>
  <c r="E10" i="3"/>
  <c r="E5" i="4" s="1"/>
  <c r="E7" i="4"/>
  <c r="E6" i="4"/>
  <c r="E14" i="9" s="1"/>
  <c r="E4" i="4"/>
  <c r="C19" i="6"/>
  <c r="S19" i="6" s="1"/>
  <c r="C18" i="6"/>
  <c r="C25" i="5"/>
  <c r="C26" i="5" s="1"/>
  <c r="C33" i="5"/>
  <c r="C21" i="6"/>
  <c r="C15" i="6"/>
  <c r="C8" i="4"/>
  <c r="F26" i="5"/>
  <c r="F27" i="5"/>
  <c r="G27" i="5"/>
  <c r="G26" i="5"/>
  <c r="C15" i="12"/>
  <c r="J35" i="6"/>
  <c r="F45" i="6"/>
  <c r="L35" i="6"/>
  <c r="K35" i="6"/>
  <c r="P11" i="5"/>
  <c r="P13" i="5"/>
  <c r="P10" i="5"/>
  <c r="P15" i="5" s="1"/>
  <c r="P42" i="5" s="1"/>
  <c r="P12" i="5"/>
  <c r="P14" i="5" s="1"/>
  <c r="T7" i="3"/>
  <c r="E37" i="3"/>
  <c r="M7" i="4"/>
  <c r="I24" i="3"/>
  <c r="M4" i="4"/>
  <c r="M10" i="3"/>
  <c r="H24" i="3"/>
  <c r="M6" i="4"/>
  <c r="G24" i="3"/>
  <c r="L27" i="5"/>
  <c r="L26" i="5"/>
  <c r="R10" i="3"/>
  <c r="R7" i="4"/>
  <c r="R18" i="4" s="1"/>
  <c r="R6" i="4"/>
  <c r="R4" i="4"/>
  <c r="R24" i="3"/>
  <c r="L10" i="9"/>
  <c r="L16" i="6"/>
  <c r="F33" i="6" s="1"/>
  <c r="Q5" i="8"/>
  <c r="Q29" i="8" s="1"/>
  <c r="Q24" i="7"/>
  <c r="F19" i="5"/>
  <c r="F20" i="5" s="1"/>
  <c r="F43" i="5" s="1"/>
  <c r="F6" i="6" s="1"/>
  <c r="F9" i="9" s="1"/>
  <c r="F18" i="5"/>
  <c r="H8" i="7"/>
  <c r="H5" i="8" s="1"/>
  <c r="H13" i="6"/>
  <c r="H12" i="9" s="1"/>
  <c r="H11" i="6"/>
  <c r="H12" i="6"/>
  <c r="H14" i="3"/>
  <c r="C33" i="12"/>
  <c r="C14" i="6"/>
  <c r="S13" i="3"/>
  <c r="C27" i="3"/>
  <c r="C40" i="3"/>
  <c r="L12" i="5"/>
  <c r="L14" i="5" s="1"/>
  <c r="L10" i="5"/>
  <c r="L11" i="5"/>
  <c r="L13" i="5"/>
  <c r="I15" i="9"/>
  <c r="I18" i="9" s="1"/>
  <c r="I26" i="9" s="1"/>
  <c r="I22" i="6"/>
  <c r="L35" i="5"/>
  <c r="L34" i="5"/>
  <c r="P8" i="6"/>
  <c r="P8" i="9" s="1"/>
  <c r="P56" i="5"/>
  <c r="M12" i="6"/>
  <c r="N13" i="9"/>
  <c r="E33" i="5"/>
  <c r="E34" i="5" s="1"/>
  <c r="E36" i="5" s="1"/>
  <c r="E21" i="6"/>
  <c r="E16" i="9" s="1"/>
  <c r="E8" i="4"/>
  <c r="E15" i="6"/>
  <c r="E13" i="9" s="1"/>
  <c r="E25" i="5"/>
  <c r="E26" i="5" s="1"/>
  <c r="E28" i="5" s="1"/>
  <c r="E18" i="6"/>
  <c r="E19" i="6"/>
  <c r="D19" i="4"/>
  <c r="D30" i="4"/>
  <c r="D15" i="5" l="1"/>
  <c r="D42" i="5" s="1"/>
  <c r="D14" i="5"/>
  <c r="J18" i="9"/>
  <c r="J26" i="9" s="1"/>
  <c r="I14" i="5"/>
  <c r="H14" i="5"/>
  <c r="N36" i="5"/>
  <c r="Q15" i="5"/>
  <c r="Q42" i="5" s="1"/>
  <c r="Q5" i="6" s="1"/>
  <c r="T11" i="9"/>
  <c r="R28" i="5"/>
  <c r="R44" i="5" s="1"/>
  <c r="T14" i="6"/>
  <c r="L36" i="5"/>
  <c r="G36" i="5"/>
  <c r="G14" i="5"/>
  <c r="J36" i="5"/>
  <c r="L47" i="5"/>
  <c r="L28" i="5"/>
  <c r="L44" i="5" s="1"/>
  <c r="M16" i="6"/>
  <c r="H33" i="6" s="1"/>
  <c r="T11" i="6"/>
  <c r="K28" i="5"/>
  <c r="K44" i="5" s="1"/>
  <c r="F36" i="5"/>
  <c r="D18" i="9"/>
  <c r="D26" i="9" s="1"/>
  <c r="D36" i="5"/>
  <c r="D44" i="5"/>
  <c r="D7" i="6" s="1"/>
  <c r="S12" i="6"/>
  <c r="H15" i="5"/>
  <c r="H42" i="5" s="1"/>
  <c r="H5" i="6" s="1"/>
  <c r="E44" i="5"/>
  <c r="E7" i="6" s="1"/>
  <c r="D9" i="4"/>
  <c r="R15" i="4"/>
  <c r="C16" i="9"/>
  <c r="S16" i="9" s="1"/>
  <c r="S21" i="6"/>
  <c r="L14" i="9"/>
  <c r="F17" i="4"/>
  <c r="K5" i="4"/>
  <c r="E16" i="4" s="1"/>
  <c r="E25" i="3"/>
  <c r="G5" i="8"/>
  <c r="D38" i="7"/>
  <c r="D24" i="7"/>
  <c r="E44" i="3"/>
  <c r="H31" i="3"/>
  <c r="T18" i="3"/>
  <c r="I31" i="3"/>
  <c r="G31" i="3"/>
  <c r="S26" i="5"/>
  <c r="C28" i="5"/>
  <c r="N11" i="5"/>
  <c r="N13" i="5"/>
  <c r="N12" i="5"/>
  <c r="N10" i="5"/>
  <c r="S19" i="5"/>
  <c r="C20" i="5"/>
  <c r="I47" i="5"/>
  <c r="G24" i="7"/>
  <c r="T8" i="7"/>
  <c r="E38" i="7"/>
  <c r="M5" i="8"/>
  <c r="H24" i="7"/>
  <c r="I24" i="7"/>
  <c r="G43" i="6"/>
  <c r="N33" i="6"/>
  <c r="O33" i="6"/>
  <c r="M33" i="6"/>
  <c r="N10" i="9"/>
  <c r="N16" i="6"/>
  <c r="P5" i="6"/>
  <c r="P53" i="5"/>
  <c r="C34" i="12"/>
  <c r="D15" i="12"/>
  <c r="S33" i="5"/>
  <c r="K10" i="9"/>
  <c r="K16" i="6"/>
  <c r="E33" i="6" s="1"/>
  <c r="F15" i="4"/>
  <c r="C15" i="4"/>
  <c r="S4" i="4"/>
  <c r="C26" i="4"/>
  <c r="P24" i="7"/>
  <c r="P5" i="8"/>
  <c r="H38" i="7"/>
  <c r="C10" i="9"/>
  <c r="S11" i="6"/>
  <c r="C16" i="6"/>
  <c r="R10" i="9"/>
  <c r="R16" i="6"/>
  <c r="R33" i="6" s="1"/>
  <c r="D34" i="6"/>
  <c r="D44" i="6"/>
  <c r="O10" i="5"/>
  <c r="O12" i="5"/>
  <c r="O13" i="5"/>
  <c r="O11" i="5"/>
  <c r="E54" i="5"/>
  <c r="K6" i="6"/>
  <c r="K9" i="9" s="1"/>
  <c r="K12" i="5"/>
  <c r="K10" i="5"/>
  <c r="K11" i="5"/>
  <c r="K13" i="5"/>
  <c r="D66" i="5"/>
  <c r="H64" i="5"/>
  <c r="P6" i="6"/>
  <c r="P9" i="9" s="1"/>
  <c r="P18" i="9" s="1"/>
  <c r="P26" i="9" s="1"/>
  <c r="P54" i="5"/>
  <c r="R14" i="9"/>
  <c r="R17" i="4"/>
  <c r="G25" i="3"/>
  <c r="T10" i="3"/>
  <c r="M5" i="4"/>
  <c r="M9" i="4" s="1"/>
  <c r="E38" i="3"/>
  <c r="I25" i="3"/>
  <c r="H25" i="3"/>
  <c r="D25" i="3"/>
  <c r="D38" i="3"/>
  <c r="G5" i="4"/>
  <c r="K14" i="9"/>
  <c r="E17" i="4"/>
  <c r="H44" i="6"/>
  <c r="P34" i="6"/>
  <c r="T12" i="6"/>
  <c r="C11" i="9"/>
  <c r="S11" i="9" s="1"/>
  <c r="S14" i="6"/>
  <c r="I15" i="4"/>
  <c r="H15" i="4"/>
  <c r="T4" i="4"/>
  <c r="E26" i="4"/>
  <c r="G15" i="4"/>
  <c r="G28" i="5"/>
  <c r="G44" i="5" s="1"/>
  <c r="S25" i="5"/>
  <c r="M15" i="9"/>
  <c r="T15" i="9" s="1"/>
  <c r="T18" i="6"/>
  <c r="M22" i="6"/>
  <c r="Q28" i="5"/>
  <c r="D15" i="4"/>
  <c r="D26" i="4"/>
  <c r="G16" i="6"/>
  <c r="G10" i="9"/>
  <c r="C5" i="4"/>
  <c r="C9" i="4" s="1"/>
  <c r="C25" i="3"/>
  <c r="C38" i="3"/>
  <c r="S10" i="3"/>
  <c r="N28" i="5"/>
  <c r="N44" i="5" s="1"/>
  <c r="C38" i="7"/>
  <c r="C5" i="8"/>
  <c r="C24" i="7"/>
  <c r="S8" i="7"/>
  <c r="J13" i="5"/>
  <c r="J10" i="5"/>
  <c r="J12" i="5"/>
  <c r="J11" i="5"/>
  <c r="R5" i="8"/>
  <c r="R29" i="8" s="1"/>
  <c r="R24" i="7"/>
  <c r="T39" i="5"/>
  <c r="M45" i="5"/>
  <c r="S27" i="5"/>
  <c r="Q18" i="9"/>
  <c r="Q26" i="9" s="1"/>
  <c r="H26" i="4"/>
  <c r="P15" i="4"/>
  <c r="S18" i="3"/>
  <c r="C44" i="3"/>
  <c r="C31" i="3"/>
  <c r="L28" i="3"/>
  <c r="J28" i="3"/>
  <c r="K28" i="3"/>
  <c r="F41" i="3"/>
  <c r="H9" i="4"/>
  <c r="R13" i="5"/>
  <c r="R11" i="5"/>
  <c r="R10" i="5"/>
  <c r="R12" i="5"/>
  <c r="K5" i="8"/>
  <c r="E29" i="8" s="1"/>
  <c r="E24" i="7"/>
  <c r="D5" i="6"/>
  <c r="D9" i="6" s="1"/>
  <c r="D26" i="6" s="1"/>
  <c r="D46" i="5"/>
  <c r="G14" i="9"/>
  <c r="D28" i="4"/>
  <c r="D17" i="4"/>
  <c r="E15" i="4"/>
  <c r="J16" i="4"/>
  <c r="F27" i="4"/>
  <c r="L16" i="4"/>
  <c r="K16" i="4"/>
  <c r="N9" i="4"/>
  <c r="Q20" i="8"/>
  <c r="Q5" i="9"/>
  <c r="Q4" i="7"/>
  <c r="Q20" i="4"/>
  <c r="E10" i="9"/>
  <c r="E16" i="6"/>
  <c r="F10" i="9"/>
  <c r="F18" i="9" s="1"/>
  <c r="F26" i="9" s="1"/>
  <c r="F16" i="6"/>
  <c r="L31" i="3"/>
  <c r="K31" i="3"/>
  <c r="J31" i="3"/>
  <c r="F44" i="3"/>
  <c r="D44" i="3"/>
  <c r="C12" i="5"/>
  <c r="C10" i="5"/>
  <c r="C11" i="5"/>
  <c r="C13" i="5"/>
  <c r="S7" i="5"/>
  <c r="C34" i="5"/>
  <c r="G47" i="5"/>
  <c r="M11" i="5"/>
  <c r="M13" i="5"/>
  <c r="M12" i="5"/>
  <c r="M10" i="5"/>
  <c r="T7" i="5"/>
  <c r="H38" i="3"/>
  <c r="P25" i="3"/>
  <c r="P5" i="4"/>
  <c r="P9" i="4" s="1"/>
  <c r="G6" i="6"/>
  <c r="G9" i="9" s="1"/>
  <c r="D54" i="5"/>
  <c r="D64" i="5"/>
  <c r="J28" i="5"/>
  <c r="J44" i="5" s="1"/>
  <c r="J7" i="6" s="1"/>
  <c r="D15" i="10"/>
  <c r="J7" i="10"/>
  <c r="R8" i="6"/>
  <c r="R8" i="9" s="1"/>
  <c r="R56" i="5"/>
  <c r="E15" i="9"/>
  <c r="E22" i="6"/>
  <c r="E11" i="5"/>
  <c r="E13" i="5"/>
  <c r="E12" i="5"/>
  <c r="E10" i="5"/>
  <c r="E55" i="5"/>
  <c r="K7" i="6"/>
  <c r="F28" i="5"/>
  <c r="F44" i="5" s="1"/>
  <c r="F7" i="6" s="1"/>
  <c r="E9" i="4"/>
  <c r="Q36" i="5"/>
  <c r="H36" i="5"/>
  <c r="L18" i="9"/>
  <c r="L26" i="9" s="1"/>
  <c r="I19" i="4"/>
  <c r="H19" i="4"/>
  <c r="T8" i="4"/>
  <c r="G19" i="4"/>
  <c r="E30" i="4"/>
  <c r="D47" i="5"/>
  <c r="D41" i="3"/>
  <c r="D28" i="3"/>
  <c r="F44" i="6"/>
  <c r="J34" i="6"/>
  <c r="L34" i="6"/>
  <c r="K34" i="6"/>
  <c r="P28" i="5"/>
  <c r="P44" i="5" s="1"/>
  <c r="T9" i="5"/>
  <c r="G66" i="5"/>
  <c r="M56" i="5"/>
  <c r="O56" i="5"/>
  <c r="N56" i="5"/>
  <c r="O8" i="6"/>
  <c r="O8" i="9" s="1"/>
  <c r="O18" i="9" s="1"/>
  <c r="O26" i="9" s="1"/>
  <c r="J9" i="4"/>
  <c r="E56" i="5"/>
  <c r="K8" i="6"/>
  <c r="K8" i="9" s="1"/>
  <c r="T14" i="3"/>
  <c r="Q47" i="5"/>
  <c r="S9" i="5"/>
  <c r="S35" i="5"/>
  <c r="T35" i="5"/>
  <c r="R5" i="4"/>
  <c r="R16" i="4" s="1"/>
  <c r="R25" i="3"/>
  <c r="L15" i="5"/>
  <c r="L42" i="5" s="1"/>
  <c r="L7" i="6"/>
  <c r="F55" i="5"/>
  <c r="I18" i="4"/>
  <c r="H18" i="4"/>
  <c r="E29" i="4"/>
  <c r="G18" i="4"/>
  <c r="T7" i="4"/>
  <c r="O20" i="8"/>
  <c r="O5" i="9"/>
  <c r="O20" i="4"/>
  <c r="O4" i="7"/>
  <c r="G31" i="4"/>
  <c r="N20" i="4"/>
  <c r="M20" i="4"/>
  <c r="N29" i="8"/>
  <c r="O29" i="8"/>
  <c r="G39" i="8"/>
  <c r="M29" i="8"/>
  <c r="H10" i="9"/>
  <c r="H18" i="9" s="1"/>
  <c r="H26" i="9" s="1"/>
  <c r="H16" i="6"/>
  <c r="M13" i="9"/>
  <c r="T13" i="9" s="1"/>
  <c r="T15" i="6"/>
  <c r="H44" i="3"/>
  <c r="P31" i="3"/>
  <c r="C18" i="4"/>
  <c r="S7" i="4"/>
  <c r="C29" i="4"/>
  <c r="M20" i="5"/>
  <c r="T19" i="5"/>
  <c r="C28" i="3"/>
  <c r="S14" i="3"/>
  <c r="C41" i="3"/>
  <c r="H47" i="5"/>
  <c r="T8" i="5"/>
  <c r="G44" i="3"/>
  <c r="O31" i="3"/>
  <c r="N31" i="3"/>
  <c r="M31" i="3"/>
  <c r="N8" i="6"/>
  <c r="N8" i="9" s="1"/>
  <c r="N18" i="9" s="1"/>
  <c r="N26" i="9" s="1"/>
  <c r="F66" i="5"/>
  <c r="K56" i="5"/>
  <c r="L56" i="5"/>
  <c r="J56" i="5"/>
  <c r="P18" i="4"/>
  <c r="H29" i="4"/>
  <c r="C45" i="5"/>
  <c r="S39" i="5"/>
  <c r="D20" i="8"/>
  <c r="D5" i="9"/>
  <c r="D4" i="7"/>
  <c r="I25" i="9"/>
  <c r="I21" i="9"/>
  <c r="P47" i="5"/>
  <c r="C15" i="9"/>
  <c r="S15" i="9" s="1"/>
  <c r="C22" i="6"/>
  <c r="S18" i="6"/>
  <c r="R7" i="6"/>
  <c r="R55" i="5"/>
  <c r="H41" i="3"/>
  <c r="P28" i="3"/>
  <c r="C19" i="4"/>
  <c r="S8" i="4"/>
  <c r="C30" i="4"/>
  <c r="D18" i="4"/>
  <c r="D29" i="4"/>
  <c r="M14" i="9"/>
  <c r="E28" i="4"/>
  <c r="I17" i="4"/>
  <c r="H17" i="4"/>
  <c r="T6" i="4"/>
  <c r="G17" i="4"/>
  <c r="C13" i="9"/>
  <c r="S13" i="9" s="1"/>
  <c r="S15" i="6"/>
  <c r="O16" i="4"/>
  <c r="G27" i="4"/>
  <c r="M16" i="4"/>
  <c r="N16" i="4"/>
  <c r="F12" i="5"/>
  <c r="F13" i="5"/>
  <c r="F11" i="5"/>
  <c r="F10" i="5"/>
  <c r="M16" i="9"/>
  <c r="T16" i="9" s="1"/>
  <c r="T21" i="6"/>
  <c r="L5" i="4"/>
  <c r="F16" i="4" s="1"/>
  <c r="F25" i="3"/>
  <c r="O28" i="5"/>
  <c r="O44" i="5" s="1"/>
  <c r="M34" i="6"/>
  <c r="G44" i="6"/>
  <c r="N34" i="6"/>
  <c r="O34" i="6"/>
  <c r="C14" i="9"/>
  <c r="C28" i="4"/>
  <c r="C17" i="4"/>
  <c r="S6" i="4"/>
  <c r="G15" i="5"/>
  <c r="G42" i="5" s="1"/>
  <c r="P10" i="9"/>
  <c r="T10" i="9" s="1"/>
  <c r="P16" i="6"/>
  <c r="T16" i="6" s="1"/>
  <c r="C12" i="9"/>
  <c r="S12" i="9" s="1"/>
  <c r="S13" i="6"/>
  <c r="I36" i="5"/>
  <c r="I44" i="5" s="1"/>
  <c r="I7" i="6" s="1"/>
  <c r="H28" i="5"/>
  <c r="F9" i="4"/>
  <c r="D56" i="5"/>
  <c r="P14" i="9"/>
  <c r="P17" i="4"/>
  <c r="H28" i="4"/>
  <c r="I15" i="5"/>
  <c r="I42" i="5" s="1"/>
  <c r="M26" i="5"/>
  <c r="M27" i="5"/>
  <c r="T27" i="5" s="1"/>
  <c r="T23" i="5"/>
  <c r="S8" i="5"/>
  <c r="N5" i="8"/>
  <c r="F38" i="7"/>
  <c r="L24" i="7"/>
  <c r="K24" i="7"/>
  <c r="J24" i="7"/>
  <c r="M34" i="5"/>
  <c r="Q53" i="5" l="1"/>
  <c r="R14" i="5"/>
  <c r="O14" i="5"/>
  <c r="E14" i="5"/>
  <c r="E43" i="6"/>
  <c r="R15" i="5"/>
  <c r="R42" i="5" s="1"/>
  <c r="R46" i="5" s="1"/>
  <c r="R57" i="5" s="1"/>
  <c r="T12" i="5"/>
  <c r="G33" i="6"/>
  <c r="I33" i="6"/>
  <c r="N14" i="5"/>
  <c r="K14" i="5"/>
  <c r="F14" i="5"/>
  <c r="K47" i="5"/>
  <c r="K18" i="9"/>
  <c r="K26" i="9" s="1"/>
  <c r="K9" i="4"/>
  <c r="S14" i="9"/>
  <c r="F15" i="5"/>
  <c r="F42" i="5" s="1"/>
  <c r="F46" i="5" s="1"/>
  <c r="G18" i="9"/>
  <c r="G26" i="9" s="1"/>
  <c r="E18" i="9"/>
  <c r="E26" i="9" s="1"/>
  <c r="J14" i="5"/>
  <c r="C14" i="5"/>
  <c r="J15" i="5"/>
  <c r="J42" i="5" s="1"/>
  <c r="J5" i="6" s="1"/>
  <c r="J9" i="6" s="1"/>
  <c r="J26" i="6" s="1"/>
  <c r="J5" i="10"/>
  <c r="D13" i="10"/>
  <c r="C20" i="8"/>
  <c r="C22" i="8" s="1"/>
  <c r="C5" i="9"/>
  <c r="C4" i="7"/>
  <c r="C31" i="4"/>
  <c r="C20" i="4"/>
  <c r="I5" i="6"/>
  <c r="I9" i="6" s="1"/>
  <c r="I26" i="6" s="1"/>
  <c r="I46" i="5"/>
  <c r="O21" i="9"/>
  <c r="O25" i="9"/>
  <c r="S34" i="5"/>
  <c r="C36" i="5"/>
  <c r="S36" i="5" s="1"/>
  <c r="G46" i="5"/>
  <c r="G5" i="6"/>
  <c r="M43" i="5"/>
  <c r="T20" i="5"/>
  <c r="M14" i="5"/>
  <c r="T14" i="5" s="1"/>
  <c r="P5" i="9"/>
  <c r="P20" i="8"/>
  <c r="P22" i="8" s="1"/>
  <c r="P20" i="4"/>
  <c r="P4" i="7"/>
  <c r="G34" i="7"/>
  <c r="N20" i="7"/>
  <c r="M20" i="7"/>
  <c r="O20" i="7"/>
  <c r="P16" i="4"/>
  <c r="H27" i="4"/>
  <c r="M47" i="5"/>
  <c r="T11" i="5"/>
  <c r="H5" i="9"/>
  <c r="H4" i="7"/>
  <c r="H20" i="8"/>
  <c r="M15" i="5"/>
  <c r="T10" i="5"/>
  <c r="Q20" i="7"/>
  <c r="F39" i="8"/>
  <c r="L29" i="8"/>
  <c r="J29" i="8"/>
  <c r="K29" i="8"/>
  <c r="E20" i="8"/>
  <c r="E22" i="8" s="1"/>
  <c r="E5" i="9"/>
  <c r="E4" i="7"/>
  <c r="C47" i="5"/>
  <c r="S11" i="5"/>
  <c r="Q22" i="8"/>
  <c r="D16" i="4"/>
  <c r="D27" i="4"/>
  <c r="F5" i="9"/>
  <c r="F20" i="8"/>
  <c r="F4" i="7"/>
  <c r="M55" i="5"/>
  <c r="N55" i="5"/>
  <c r="O7" i="6"/>
  <c r="O55" i="5"/>
  <c r="G65" i="5"/>
  <c r="M36" i="5"/>
  <c r="T36" i="5" s="1"/>
  <c r="T34" i="5"/>
  <c r="H44" i="5"/>
  <c r="D55" i="5" s="1"/>
  <c r="G7" i="6"/>
  <c r="M28" i="5"/>
  <c r="T26" i="5"/>
  <c r="F47" i="5"/>
  <c r="D25" i="9"/>
  <c r="D21" i="9"/>
  <c r="E15" i="5"/>
  <c r="E42" i="5" s="1"/>
  <c r="R18" i="9"/>
  <c r="R26" i="9" s="1"/>
  <c r="S12" i="5"/>
  <c r="R47" i="5"/>
  <c r="N7" i="6"/>
  <c r="F65" i="5"/>
  <c r="J55" i="5"/>
  <c r="K55" i="5"/>
  <c r="L55" i="5"/>
  <c r="G9" i="4"/>
  <c r="S10" i="9"/>
  <c r="J33" i="6"/>
  <c r="K33" i="6"/>
  <c r="L33" i="6"/>
  <c r="F43" i="6"/>
  <c r="G29" i="8"/>
  <c r="H29" i="8"/>
  <c r="T5" i="8"/>
  <c r="E39" i="8"/>
  <c r="I29" i="8"/>
  <c r="N15" i="5"/>
  <c r="N42" i="5" s="1"/>
  <c r="D21" i="8"/>
  <c r="D5" i="7"/>
  <c r="D6" i="7" s="1"/>
  <c r="M20" i="8"/>
  <c r="M5" i="9"/>
  <c r="M4" i="7"/>
  <c r="I20" i="4"/>
  <c r="H20" i="4"/>
  <c r="G20" i="4"/>
  <c r="E31" i="4"/>
  <c r="L9" i="4"/>
  <c r="I56" i="5"/>
  <c r="T45" i="5"/>
  <c r="E66" i="5"/>
  <c r="H56" i="5"/>
  <c r="G56" i="5"/>
  <c r="M8" i="6"/>
  <c r="Q44" i="5"/>
  <c r="H39" i="8"/>
  <c r="P29" i="8"/>
  <c r="T22" i="6"/>
  <c r="E44" i="6"/>
  <c r="H34" i="6"/>
  <c r="I34" i="6"/>
  <c r="G34" i="6"/>
  <c r="I16" i="4"/>
  <c r="H16" i="4"/>
  <c r="G16" i="4"/>
  <c r="T5" i="4"/>
  <c r="E27" i="4"/>
  <c r="O47" i="5"/>
  <c r="C36" i="12"/>
  <c r="C35" i="12"/>
  <c r="L5" i="6"/>
  <c r="L9" i="6" s="1"/>
  <c r="L46" i="5"/>
  <c r="F57" i="5" s="1"/>
  <c r="F53" i="5"/>
  <c r="H43" i="6"/>
  <c r="P33" i="6"/>
  <c r="P7" i="6"/>
  <c r="P9" i="6" s="1"/>
  <c r="P55" i="5"/>
  <c r="E47" i="5"/>
  <c r="S13" i="5"/>
  <c r="Q25" i="9"/>
  <c r="Q21" i="9"/>
  <c r="K20" i="8"/>
  <c r="K4" i="7"/>
  <c r="K5" i="9"/>
  <c r="E20" i="4"/>
  <c r="C27" i="4"/>
  <c r="C16" i="4"/>
  <c r="S5" i="4"/>
  <c r="P46" i="5"/>
  <c r="N47" i="5"/>
  <c r="S22" i="6"/>
  <c r="C14" i="10" s="1"/>
  <c r="C44" i="6"/>
  <c r="C34" i="6"/>
  <c r="S45" i="5"/>
  <c r="C56" i="5"/>
  <c r="C8" i="6"/>
  <c r="C66" i="5"/>
  <c r="S28" i="5"/>
  <c r="J28" i="9"/>
  <c r="J27" i="9"/>
  <c r="J5" i="9"/>
  <c r="J20" i="8"/>
  <c r="J22" i="8" s="1"/>
  <c r="J4" i="7"/>
  <c r="T14" i="9"/>
  <c r="T13" i="5"/>
  <c r="S10" i="5"/>
  <c r="C15" i="5"/>
  <c r="N20" i="8"/>
  <c r="N22" i="8" s="1"/>
  <c r="N5" i="9"/>
  <c r="N4" i="7"/>
  <c r="F31" i="4"/>
  <c r="K20" i="4"/>
  <c r="J20" i="4"/>
  <c r="L20" i="4"/>
  <c r="J47" i="5"/>
  <c r="C29" i="8"/>
  <c r="S5" i="8"/>
  <c r="C39" i="8"/>
  <c r="D43" i="6"/>
  <c r="D33" i="6"/>
  <c r="K15" i="5"/>
  <c r="K42" i="5" s="1"/>
  <c r="O15" i="5"/>
  <c r="O42" i="5" s="1"/>
  <c r="C33" i="6"/>
  <c r="S16" i="6"/>
  <c r="C13" i="10" s="1"/>
  <c r="C43" i="6"/>
  <c r="C43" i="5"/>
  <c r="S20" i="5"/>
  <c r="D29" i="8"/>
  <c r="D39" i="8"/>
  <c r="R9" i="4"/>
  <c r="R5" i="6" l="1"/>
  <c r="R9" i="6" s="1"/>
  <c r="H63" i="5"/>
  <c r="R53" i="5"/>
  <c r="S9" i="4"/>
  <c r="D53" i="5"/>
  <c r="F5" i="6"/>
  <c r="F9" i="6" s="1"/>
  <c r="F26" i="6" s="1"/>
  <c r="F21" i="8" s="1"/>
  <c r="S14" i="5"/>
  <c r="D22" i="8"/>
  <c r="C44" i="5"/>
  <c r="C7" i="6" s="1"/>
  <c r="F22" i="8"/>
  <c r="J46" i="5"/>
  <c r="J21" i="8" s="1"/>
  <c r="P26" i="6"/>
  <c r="P32" i="6"/>
  <c r="E15" i="10"/>
  <c r="E5" i="10"/>
  <c r="E13" i="10"/>
  <c r="C5" i="10"/>
  <c r="E14" i="10"/>
  <c r="J11" i="10"/>
  <c r="D9" i="7"/>
  <c r="D11" i="7" s="1"/>
  <c r="D7" i="7"/>
  <c r="R32" i="6"/>
  <c r="R26" i="6"/>
  <c r="P25" i="9"/>
  <c r="P21" i="9"/>
  <c r="T4" i="7"/>
  <c r="I20" i="7"/>
  <c r="E34" i="7"/>
  <c r="H20" i="7"/>
  <c r="G20" i="7"/>
  <c r="F63" i="5"/>
  <c r="J53" i="5"/>
  <c r="N46" i="5"/>
  <c r="N5" i="6"/>
  <c r="N9" i="6" s="1"/>
  <c r="L53" i="5"/>
  <c r="K53" i="5"/>
  <c r="M42" i="5"/>
  <c r="T15" i="5"/>
  <c r="J21" i="9"/>
  <c r="J25" i="9"/>
  <c r="J29" i="9" s="1"/>
  <c r="O22" i="8"/>
  <c r="L26" i="6"/>
  <c r="F32" i="6"/>
  <c r="L20" i="8"/>
  <c r="M22" i="8" s="1"/>
  <c r="L4" i="7"/>
  <c r="L5" i="9"/>
  <c r="F20" i="4"/>
  <c r="M44" i="5"/>
  <c r="T28" i="5"/>
  <c r="S47" i="5"/>
  <c r="R5" i="9"/>
  <c r="R20" i="8"/>
  <c r="R4" i="7"/>
  <c r="R20" i="4"/>
  <c r="M8" i="9"/>
  <c r="T8" i="6"/>
  <c r="D12" i="10" s="1"/>
  <c r="H7" i="6"/>
  <c r="H9" i="6" s="1"/>
  <c r="H26" i="6" s="1"/>
  <c r="H46" i="5"/>
  <c r="E64" i="5"/>
  <c r="I54" i="5"/>
  <c r="M6" i="6"/>
  <c r="H54" i="5"/>
  <c r="T43" i="5"/>
  <c r="G54" i="5"/>
  <c r="C34" i="7"/>
  <c r="C20" i="7"/>
  <c r="M25" i="9"/>
  <c r="T5" i="9"/>
  <c r="H22" i="8"/>
  <c r="I22" i="8"/>
  <c r="S15" i="5"/>
  <c r="C42" i="5"/>
  <c r="H25" i="9"/>
  <c r="H21" i="9"/>
  <c r="P20" i="7"/>
  <c r="G9" i="6"/>
  <c r="P28" i="9"/>
  <c r="P27" i="9"/>
  <c r="C25" i="9"/>
  <c r="Q55" i="5"/>
  <c r="Q7" i="6"/>
  <c r="Q9" i="6" s="1"/>
  <c r="Q46" i="5"/>
  <c r="Q57" i="5" s="1"/>
  <c r="G63" i="5"/>
  <c r="M53" i="5"/>
  <c r="N53" i="5"/>
  <c r="O5" i="6"/>
  <c r="O9" i="6" s="1"/>
  <c r="O53" i="5"/>
  <c r="O46" i="5"/>
  <c r="T9" i="4"/>
  <c r="E25" i="9"/>
  <c r="E21" i="9"/>
  <c r="E53" i="5"/>
  <c r="K5" i="6"/>
  <c r="K9" i="6" s="1"/>
  <c r="K46" i="5"/>
  <c r="E57" i="5" s="1"/>
  <c r="E20" i="7"/>
  <c r="H65" i="5"/>
  <c r="J5" i="7"/>
  <c r="J6" i="7" s="1"/>
  <c r="J9" i="7" s="1"/>
  <c r="J11" i="7" s="1"/>
  <c r="E46" i="5"/>
  <c r="E5" i="6"/>
  <c r="E9" i="6" s="1"/>
  <c r="E26" i="6" s="1"/>
  <c r="D65" i="5"/>
  <c r="F25" i="9"/>
  <c r="F21" i="9"/>
  <c r="H31" i="4"/>
  <c r="F34" i="7"/>
  <c r="L20" i="7"/>
  <c r="K20" i="7"/>
  <c r="J20" i="7"/>
  <c r="C8" i="9"/>
  <c r="S8" i="6"/>
  <c r="C12" i="10" s="1"/>
  <c r="N25" i="9"/>
  <c r="N21" i="9"/>
  <c r="G5" i="9"/>
  <c r="G20" i="8"/>
  <c r="G22" i="8" s="1"/>
  <c r="G4" i="7"/>
  <c r="D31" i="4"/>
  <c r="D20" i="4"/>
  <c r="C55" i="5"/>
  <c r="K22" i="8"/>
  <c r="E27" i="9"/>
  <c r="E28" i="9"/>
  <c r="I21" i="8"/>
  <c r="I5" i="7"/>
  <c r="I6" i="7" s="1"/>
  <c r="K25" i="9"/>
  <c r="K21" i="9"/>
  <c r="S43" i="5"/>
  <c r="C54" i="5"/>
  <c r="C64" i="5"/>
  <c r="C6" i="6"/>
  <c r="P57" i="5"/>
  <c r="R28" i="9"/>
  <c r="R27" i="9"/>
  <c r="D14" i="10"/>
  <c r="J6" i="10"/>
  <c r="T47" i="5"/>
  <c r="D63" i="5"/>
  <c r="D57" i="5" l="1"/>
  <c r="F5" i="7"/>
  <c r="F6" i="7" s="1"/>
  <c r="F9" i="7" s="1"/>
  <c r="F11" i="7" s="1"/>
  <c r="P29" i="9"/>
  <c r="C65" i="5"/>
  <c r="S44" i="5"/>
  <c r="E12" i="10"/>
  <c r="J23" i="8"/>
  <c r="J6" i="8" s="1"/>
  <c r="J7" i="7"/>
  <c r="H21" i="8"/>
  <c r="I23" i="8" s="1"/>
  <c r="H5" i="7"/>
  <c r="H6" i="7" s="1"/>
  <c r="L21" i="8"/>
  <c r="L5" i="7"/>
  <c r="F21" i="7" s="1"/>
  <c r="F36" i="6"/>
  <c r="D20" i="7"/>
  <c r="D34" i="7"/>
  <c r="E21" i="8"/>
  <c r="E23" i="8" s="1"/>
  <c r="E5" i="7"/>
  <c r="E6" i="7" s="1"/>
  <c r="F15" i="10"/>
  <c r="F12" i="10"/>
  <c r="F5" i="10"/>
  <c r="F13" i="10"/>
  <c r="D5" i="10"/>
  <c r="F14" i="10"/>
  <c r="K11" i="10"/>
  <c r="Q32" i="6"/>
  <c r="Q26" i="6"/>
  <c r="H46" i="6" s="1"/>
  <c r="N57" i="5"/>
  <c r="M57" i="5"/>
  <c r="G67" i="5"/>
  <c r="O57" i="5"/>
  <c r="I28" i="9"/>
  <c r="I27" i="9"/>
  <c r="I55" i="5"/>
  <c r="M7" i="6"/>
  <c r="T7" i="6" s="1"/>
  <c r="D11" i="10" s="1"/>
  <c r="E65" i="5"/>
  <c r="H55" i="5"/>
  <c r="T44" i="5"/>
  <c r="G55" i="5"/>
  <c r="R21" i="8"/>
  <c r="R5" i="7"/>
  <c r="R21" i="7" s="1"/>
  <c r="R36" i="6"/>
  <c r="S8" i="9"/>
  <c r="E29" i="9"/>
  <c r="D32" i="6"/>
  <c r="D42" i="6"/>
  <c r="G26" i="6"/>
  <c r="L28" i="9"/>
  <c r="L27" i="9"/>
  <c r="G21" i="9"/>
  <c r="G25" i="9"/>
  <c r="S25" i="9" s="1"/>
  <c r="J12" i="7"/>
  <c r="J13" i="7" s="1"/>
  <c r="T8" i="9"/>
  <c r="K28" i="9"/>
  <c r="K27" i="9"/>
  <c r="J32" i="6"/>
  <c r="F42" i="6"/>
  <c r="L32" i="6"/>
  <c r="K32" i="6"/>
  <c r="N26" i="6"/>
  <c r="F12" i="7"/>
  <c r="F13" i="7" s="1"/>
  <c r="L25" i="9"/>
  <c r="L21" i="9"/>
  <c r="F67" i="5"/>
  <c r="J57" i="5"/>
  <c r="L57" i="5"/>
  <c r="K57" i="5"/>
  <c r="T6" i="6"/>
  <c r="D10" i="10" s="1"/>
  <c r="M9" i="9"/>
  <c r="T9" i="9" s="1"/>
  <c r="I9" i="7"/>
  <c r="I11" i="7" s="1"/>
  <c r="I7" i="7"/>
  <c r="O28" i="9"/>
  <c r="O27" i="9"/>
  <c r="S7" i="6"/>
  <c r="K26" i="6"/>
  <c r="E32" i="6"/>
  <c r="C46" i="5"/>
  <c r="C53" i="5"/>
  <c r="C63" i="5"/>
  <c r="S42" i="5"/>
  <c r="C5" i="6"/>
  <c r="R20" i="7"/>
  <c r="F20" i="7"/>
  <c r="C9" i="9"/>
  <c r="S9" i="9" s="1"/>
  <c r="S6" i="6"/>
  <c r="H34" i="7"/>
  <c r="F7" i="7"/>
  <c r="R22" i="8"/>
  <c r="T20" i="8"/>
  <c r="L22" i="8"/>
  <c r="S20" i="8"/>
  <c r="I53" i="5"/>
  <c r="M46" i="5"/>
  <c r="M5" i="6"/>
  <c r="E63" i="5"/>
  <c r="H53" i="5"/>
  <c r="T42" i="5"/>
  <c r="G53" i="5"/>
  <c r="D12" i="7"/>
  <c r="D13" i="7"/>
  <c r="H42" i="6"/>
  <c r="G42" i="6"/>
  <c r="N32" i="6"/>
  <c r="M32" i="6"/>
  <c r="O26" i="6"/>
  <c r="O32" i="6"/>
  <c r="S5" i="9"/>
  <c r="H67" i="5"/>
  <c r="G28" i="9"/>
  <c r="G27" i="9"/>
  <c r="D67" i="5"/>
  <c r="F28" i="9"/>
  <c r="F27" i="9"/>
  <c r="S4" i="7"/>
  <c r="R21" i="9"/>
  <c r="R25" i="9"/>
  <c r="R29" i="9" s="1"/>
  <c r="Q28" i="9"/>
  <c r="Q27" i="9"/>
  <c r="P21" i="8"/>
  <c r="P5" i="7"/>
  <c r="P36" i="6"/>
  <c r="K29" i="9" l="1"/>
  <c r="Q29" i="9"/>
  <c r="I29" i="9"/>
  <c r="I6" i="8"/>
  <c r="L6" i="7"/>
  <c r="L7" i="7" s="1"/>
  <c r="R6" i="7"/>
  <c r="R9" i="7" s="1"/>
  <c r="F29" i="9"/>
  <c r="F11" i="10"/>
  <c r="M18" i="9"/>
  <c r="T18" i="9" s="1"/>
  <c r="F23" i="8"/>
  <c r="F4" i="8"/>
  <c r="F14" i="7"/>
  <c r="J4" i="8"/>
  <c r="J7" i="8" s="1"/>
  <c r="J10" i="8" s="1"/>
  <c r="J14" i="7"/>
  <c r="M9" i="6"/>
  <c r="T5" i="6"/>
  <c r="O29" i="9"/>
  <c r="H28" i="9"/>
  <c r="H27" i="9"/>
  <c r="F10" i="10"/>
  <c r="E67" i="5"/>
  <c r="I57" i="5"/>
  <c r="H57" i="5"/>
  <c r="G57" i="5"/>
  <c r="T46" i="5"/>
  <c r="C10" i="10"/>
  <c r="E10" i="10"/>
  <c r="C18" i="9"/>
  <c r="P21" i="7"/>
  <c r="P6" i="7"/>
  <c r="D4" i="8"/>
  <c r="D14" i="7"/>
  <c r="C57" i="5"/>
  <c r="C67" i="5"/>
  <c r="S46" i="5"/>
  <c r="I12" i="7"/>
  <c r="I13" i="7" s="1"/>
  <c r="S22" i="8"/>
  <c r="J36" i="6"/>
  <c r="F46" i="6"/>
  <c r="N21" i="8"/>
  <c r="N5" i="7"/>
  <c r="L36" i="6"/>
  <c r="K36" i="6"/>
  <c r="G21" i="8"/>
  <c r="G23" i="8" s="1"/>
  <c r="G5" i="7"/>
  <c r="D46" i="6"/>
  <c r="D36" i="6"/>
  <c r="T21" i="8"/>
  <c r="S21" i="8"/>
  <c r="F22" i="7"/>
  <c r="H9" i="7"/>
  <c r="H11" i="7" s="1"/>
  <c r="H7" i="7"/>
  <c r="O21" i="8"/>
  <c r="P23" i="8" s="1"/>
  <c r="P6" i="8" s="1"/>
  <c r="G46" i="6"/>
  <c r="M36" i="6"/>
  <c r="O5" i="7"/>
  <c r="O36" i="6"/>
  <c r="N36" i="6"/>
  <c r="K21" i="8"/>
  <c r="K23" i="8" s="1"/>
  <c r="K6" i="8" s="1"/>
  <c r="E36" i="6"/>
  <c r="K5" i="7"/>
  <c r="T22" i="8"/>
  <c r="M27" i="9"/>
  <c r="M28" i="9"/>
  <c r="Q5" i="7"/>
  <c r="Q36" i="6"/>
  <c r="Q21" i="8"/>
  <c r="Q23" i="8" s="1"/>
  <c r="Q6" i="8" s="1"/>
  <c r="E9" i="7"/>
  <c r="E11" i="7" s="1"/>
  <c r="E7" i="7"/>
  <c r="F23" i="7"/>
  <c r="S5" i="6"/>
  <c r="C9" i="6"/>
  <c r="C11" i="10"/>
  <c r="E11" i="10"/>
  <c r="T25" i="9"/>
  <c r="L29" i="9"/>
  <c r="G29" i="9"/>
  <c r="E6" i="8"/>
  <c r="F6" i="8" l="1"/>
  <c r="L9" i="7"/>
  <c r="M21" i="9"/>
  <c r="T21" i="9" s="1"/>
  <c r="R22" i="7"/>
  <c r="M26" i="9"/>
  <c r="T26" i="9" s="1"/>
  <c r="R7" i="7"/>
  <c r="R23" i="7"/>
  <c r="L23" i="8"/>
  <c r="S23" i="8" s="1"/>
  <c r="G6" i="8"/>
  <c r="Q21" i="7"/>
  <c r="Q6" i="7"/>
  <c r="H36" i="7" s="1"/>
  <c r="H23" i="8"/>
  <c r="I4" i="8"/>
  <c r="I7" i="8" s="1"/>
  <c r="I10" i="8" s="1"/>
  <c r="I14" i="7"/>
  <c r="H35" i="7"/>
  <c r="H12" i="7"/>
  <c r="H13" i="7" s="1"/>
  <c r="S9" i="6"/>
  <c r="C42" i="6"/>
  <c r="C26" i="6"/>
  <c r="C32" i="6"/>
  <c r="C9" i="10"/>
  <c r="E9" i="10"/>
  <c r="F25" i="7"/>
  <c r="L11" i="7"/>
  <c r="D35" i="7"/>
  <c r="D21" i="7"/>
  <c r="G6" i="7"/>
  <c r="C26" i="9"/>
  <c r="S18" i="9"/>
  <c r="C21" i="9"/>
  <c r="D9" i="10"/>
  <c r="F9" i="10"/>
  <c r="H32" i="6"/>
  <c r="I32" i="6"/>
  <c r="E42" i="6"/>
  <c r="G32" i="6"/>
  <c r="T9" i="6"/>
  <c r="M26" i="6"/>
  <c r="N28" i="9"/>
  <c r="T28" i="9" s="1"/>
  <c r="N27" i="9"/>
  <c r="R25" i="7"/>
  <c r="R11" i="7"/>
  <c r="N21" i="7"/>
  <c r="G35" i="7"/>
  <c r="O21" i="7"/>
  <c r="M21" i="7"/>
  <c r="O6" i="7"/>
  <c r="E12" i="7"/>
  <c r="E13" i="7" s="1"/>
  <c r="O23" i="8"/>
  <c r="O6" i="8" s="1"/>
  <c r="R23" i="8"/>
  <c r="K21" i="7"/>
  <c r="J21" i="7"/>
  <c r="F35" i="7"/>
  <c r="L21" i="7"/>
  <c r="N6" i="7"/>
  <c r="P22" i="7"/>
  <c r="P9" i="7"/>
  <c r="P23" i="7"/>
  <c r="P7" i="7"/>
  <c r="H37" i="7"/>
  <c r="E21" i="7"/>
  <c r="K6" i="7"/>
  <c r="H29" i="9"/>
  <c r="F7" i="8"/>
  <c r="F10" i="8" s="1"/>
  <c r="L6" i="8" l="1"/>
  <c r="M29" i="9"/>
  <c r="N29" i="9"/>
  <c r="T27" i="9"/>
  <c r="H4" i="8"/>
  <c r="H14" i="7"/>
  <c r="H39" i="7"/>
  <c r="P25" i="7"/>
  <c r="P11" i="7"/>
  <c r="T23" i="8"/>
  <c r="R6" i="8"/>
  <c r="D28" i="9"/>
  <c r="S28" i="9" s="1"/>
  <c r="S21" i="9"/>
  <c r="D27" i="9"/>
  <c r="R12" i="7"/>
  <c r="R26" i="7" s="1"/>
  <c r="D22" i="7"/>
  <c r="G9" i="7"/>
  <c r="D36" i="7"/>
  <c r="G7" i="7"/>
  <c r="D23" i="7"/>
  <c r="D37" i="7"/>
  <c r="M21" i="8"/>
  <c r="T26" i="6"/>
  <c r="E46" i="6"/>
  <c r="H36" i="6"/>
  <c r="M5" i="7"/>
  <c r="I36" i="6"/>
  <c r="G36" i="6"/>
  <c r="D8" i="10"/>
  <c r="J4" i="10"/>
  <c r="F8" i="10"/>
  <c r="S26" i="9"/>
  <c r="C29" i="9"/>
  <c r="E4" i="8"/>
  <c r="E7" i="8" s="1"/>
  <c r="E10" i="8" s="1"/>
  <c r="E14" i="7"/>
  <c r="N22" i="7"/>
  <c r="M22" i="7"/>
  <c r="O22" i="7"/>
  <c r="G36" i="7"/>
  <c r="O9" i="7"/>
  <c r="N23" i="7"/>
  <c r="M23" i="7"/>
  <c r="O23" i="7"/>
  <c r="O7" i="7"/>
  <c r="G37" i="7"/>
  <c r="E22" i="7"/>
  <c r="K9" i="7"/>
  <c r="E23" i="7"/>
  <c r="K7" i="7"/>
  <c r="F36" i="7"/>
  <c r="N9" i="7"/>
  <c r="L22" i="7"/>
  <c r="K22" i="7"/>
  <c r="J22" i="7"/>
  <c r="N7" i="7"/>
  <c r="L23" i="7"/>
  <c r="J23" i="7"/>
  <c r="F37" i="7"/>
  <c r="K23" i="7"/>
  <c r="C36" i="6"/>
  <c r="C5" i="7"/>
  <c r="C46" i="6"/>
  <c r="C21" i="8"/>
  <c r="S26" i="6"/>
  <c r="H6" i="8"/>
  <c r="L12" i="7"/>
  <c r="F26" i="7" s="1"/>
  <c r="Q22" i="7"/>
  <c r="Q9" i="7"/>
  <c r="Q23" i="7"/>
  <c r="Q7" i="7"/>
  <c r="C8" i="10"/>
  <c r="E8" i="10"/>
  <c r="T29" i="9" l="1"/>
  <c r="L13" i="7"/>
  <c r="L4" i="8" s="1"/>
  <c r="F27" i="7"/>
  <c r="L14" i="7"/>
  <c r="F28" i="7"/>
  <c r="N11" i="7"/>
  <c r="L25" i="7"/>
  <c r="K25" i="7"/>
  <c r="J25" i="7"/>
  <c r="F39" i="7"/>
  <c r="G21" i="7"/>
  <c r="T5" i="7"/>
  <c r="I21" i="7"/>
  <c r="H21" i="7"/>
  <c r="E35" i="7"/>
  <c r="M6" i="7"/>
  <c r="J12" i="10"/>
  <c r="C16" i="10"/>
  <c r="E16" i="10"/>
  <c r="O25" i="7"/>
  <c r="N25" i="7"/>
  <c r="G39" i="7"/>
  <c r="M25" i="7"/>
  <c r="O11" i="7"/>
  <c r="C23" i="8"/>
  <c r="C6" i="8" s="1"/>
  <c r="D23" i="8"/>
  <c r="D16" i="10"/>
  <c r="K12" i="10"/>
  <c r="F16" i="10"/>
  <c r="Q11" i="7"/>
  <c r="Q25" i="7"/>
  <c r="S27" i="9"/>
  <c r="D29" i="9"/>
  <c r="S29" i="9" s="1"/>
  <c r="D39" i="7"/>
  <c r="G11" i="7"/>
  <c r="D25" i="7"/>
  <c r="P12" i="7"/>
  <c r="P13" i="7" s="1"/>
  <c r="K11" i="7"/>
  <c r="E25" i="7"/>
  <c r="M23" i="8"/>
  <c r="M6" i="8" s="1"/>
  <c r="N23" i="8"/>
  <c r="N6" i="8" s="1"/>
  <c r="R13" i="7"/>
  <c r="C35" i="7"/>
  <c r="S5" i="7"/>
  <c r="C21" i="7"/>
  <c r="C6" i="7"/>
  <c r="H7" i="8"/>
  <c r="H10" i="8" s="1"/>
  <c r="P4" i="8" l="1"/>
  <c r="P27" i="7"/>
  <c r="P28" i="7"/>
  <c r="P14" i="7"/>
  <c r="E36" i="7"/>
  <c r="I22" i="7"/>
  <c r="G22" i="7"/>
  <c r="T6" i="7"/>
  <c r="H22" i="7"/>
  <c r="M9" i="7"/>
  <c r="E37" i="7"/>
  <c r="M7" i="7"/>
  <c r="G23" i="7"/>
  <c r="H23" i="7"/>
  <c r="I23" i="7"/>
  <c r="K12" i="7"/>
  <c r="E26" i="7" s="1"/>
  <c r="C36" i="7"/>
  <c r="C22" i="7"/>
  <c r="C9" i="7"/>
  <c r="S6" i="7"/>
  <c r="C37" i="7"/>
  <c r="C23" i="7"/>
  <c r="C7" i="7"/>
  <c r="Q12" i="7"/>
  <c r="Q26" i="7" s="1"/>
  <c r="N12" i="7"/>
  <c r="N13" i="7" s="1"/>
  <c r="G12" i="7"/>
  <c r="G13" i="7" s="1"/>
  <c r="D6" i="8"/>
  <c r="D7" i="8" s="1"/>
  <c r="D10" i="8" s="1"/>
  <c r="O12" i="7"/>
  <c r="O13" i="7" s="1"/>
  <c r="P26" i="7"/>
  <c r="R27" i="7"/>
  <c r="R4" i="8"/>
  <c r="R28" i="7"/>
  <c r="R14" i="7"/>
  <c r="T6" i="8"/>
  <c r="S6" i="8"/>
  <c r="F28" i="8"/>
  <c r="L7" i="8"/>
  <c r="H40" i="7" l="1"/>
  <c r="J27" i="7"/>
  <c r="N4" i="8"/>
  <c r="F41" i="7"/>
  <c r="L27" i="7"/>
  <c r="K27" i="7"/>
  <c r="L28" i="7"/>
  <c r="N14" i="7"/>
  <c r="K28" i="7"/>
  <c r="J28" i="7"/>
  <c r="F42" i="7"/>
  <c r="G4" i="8"/>
  <c r="D27" i="7"/>
  <c r="G14" i="7"/>
  <c r="D28" i="7"/>
  <c r="R28" i="8"/>
  <c r="R7" i="8"/>
  <c r="D40" i="7"/>
  <c r="D26" i="7"/>
  <c r="F30" i="8"/>
  <c r="L10" i="8"/>
  <c r="F31" i="8" s="1"/>
  <c r="G41" i="7"/>
  <c r="O27" i="7"/>
  <c r="N27" i="7"/>
  <c r="M27" i="7"/>
  <c r="O4" i="8"/>
  <c r="G42" i="7"/>
  <c r="O28" i="7"/>
  <c r="O14" i="7"/>
  <c r="N28" i="7"/>
  <c r="M28" i="7"/>
  <c r="Q13" i="7"/>
  <c r="O26" i="7"/>
  <c r="N26" i="7"/>
  <c r="M26" i="7"/>
  <c r="G40" i="7"/>
  <c r="K13" i="7"/>
  <c r="D42" i="7" s="1"/>
  <c r="D19" i="10"/>
  <c r="T7" i="7"/>
  <c r="F19" i="10"/>
  <c r="P28" i="8"/>
  <c r="P7" i="8"/>
  <c r="C19" i="10"/>
  <c r="E19" i="10"/>
  <c r="S7" i="7"/>
  <c r="F40" i="7"/>
  <c r="J26" i="7"/>
  <c r="L26" i="7"/>
  <c r="K26" i="7"/>
  <c r="C39" i="7"/>
  <c r="S9" i="7"/>
  <c r="C11" i="7"/>
  <c r="C25" i="7"/>
  <c r="G25" i="7"/>
  <c r="H25" i="7"/>
  <c r="M11" i="7"/>
  <c r="T9" i="7"/>
  <c r="I25" i="7"/>
  <c r="E39" i="7"/>
  <c r="C12" i="7" l="1"/>
  <c r="S11" i="7"/>
  <c r="C13" i="7"/>
  <c r="K4" i="8"/>
  <c r="E27" i="7"/>
  <c r="K14" i="7"/>
  <c r="E28" i="7"/>
  <c r="D38" i="8"/>
  <c r="D28" i="8"/>
  <c r="G7" i="8"/>
  <c r="P30" i="8"/>
  <c r="P10" i="8"/>
  <c r="N28" i="8"/>
  <c r="G38" i="8"/>
  <c r="M28" i="8"/>
  <c r="O28" i="8"/>
  <c r="O7" i="8"/>
  <c r="D41" i="7"/>
  <c r="M12" i="7"/>
  <c r="T11" i="7"/>
  <c r="R30" i="8"/>
  <c r="R10" i="8"/>
  <c r="R31" i="8" s="1"/>
  <c r="F38" i="8"/>
  <c r="L28" i="8"/>
  <c r="J28" i="8"/>
  <c r="N7" i="8"/>
  <c r="K28" i="8"/>
  <c r="Q27" i="7"/>
  <c r="Q4" i="8"/>
  <c r="Q28" i="7"/>
  <c r="Q14" i="7"/>
  <c r="H41" i="7"/>
  <c r="H42" i="7"/>
  <c r="Q28" i="8" l="1"/>
  <c r="Q7" i="8"/>
  <c r="H38" i="8"/>
  <c r="E40" i="7"/>
  <c r="G26" i="7"/>
  <c r="T12" i="7"/>
  <c r="I26" i="7"/>
  <c r="H26" i="7"/>
  <c r="P31" i="8"/>
  <c r="L30" i="8"/>
  <c r="F40" i="8"/>
  <c r="J30" i="8"/>
  <c r="K30" i="8"/>
  <c r="N10" i="8"/>
  <c r="M13" i="7"/>
  <c r="E28" i="8"/>
  <c r="K7" i="8"/>
  <c r="C4" i="8"/>
  <c r="C41" i="7"/>
  <c r="C27" i="7"/>
  <c r="C42" i="7"/>
  <c r="C28" i="7"/>
  <c r="C14" i="7"/>
  <c r="N30" i="8"/>
  <c r="G40" i="8"/>
  <c r="O30" i="8"/>
  <c r="O10" i="8"/>
  <c r="M30" i="8"/>
  <c r="D30" i="8"/>
  <c r="G10" i="8"/>
  <c r="C40" i="7"/>
  <c r="C26" i="7"/>
  <c r="S12" i="7"/>
  <c r="D31" i="8" l="1"/>
  <c r="I27" i="7"/>
  <c r="E41" i="7"/>
  <c r="G27" i="7"/>
  <c r="M4" i="8"/>
  <c r="H27" i="7"/>
  <c r="T13" i="7"/>
  <c r="E42" i="7"/>
  <c r="I28" i="7"/>
  <c r="M14" i="7"/>
  <c r="G28" i="7"/>
  <c r="H28" i="7"/>
  <c r="J13" i="10"/>
  <c r="C20" i="10"/>
  <c r="E20" i="10"/>
  <c r="S14" i="7"/>
  <c r="S4" i="8"/>
  <c r="C38" i="8"/>
  <c r="C7" i="8"/>
  <c r="C28" i="8"/>
  <c r="K10" i="8"/>
  <c r="E31" i="8" s="1"/>
  <c r="E30" i="8"/>
  <c r="Q30" i="8"/>
  <c r="Q10" i="8"/>
  <c r="H40" i="8"/>
  <c r="L31" i="8"/>
  <c r="J31" i="8"/>
  <c r="K31" i="8"/>
  <c r="F41" i="8"/>
  <c r="N31" i="8"/>
  <c r="M31" i="8"/>
  <c r="G41" i="8"/>
  <c r="O31" i="8"/>
  <c r="D40" i="8"/>
  <c r="K13" i="10" l="1"/>
  <c r="D20" i="10"/>
  <c r="T14" i="7"/>
  <c r="F20" i="10"/>
  <c r="I28" i="8"/>
  <c r="T4" i="8"/>
  <c r="E38" i="8"/>
  <c r="H28" i="8"/>
  <c r="M7" i="8"/>
  <c r="G28" i="8"/>
  <c r="C30" i="8"/>
  <c r="C40" i="8"/>
  <c r="S7" i="8"/>
  <c r="C10" i="8"/>
  <c r="Q31" i="8"/>
  <c r="H41" i="8"/>
  <c r="D41" i="8"/>
  <c r="C41" i="8" l="1"/>
  <c r="S10" i="8"/>
  <c r="C31" i="8"/>
  <c r="C13" i="8"/>
  <c r="E40" i="8"/>
  <c r="M10" i="8"/>
  <c r="I30" i="8"/>
  <c r="T7" i="8"/>
  <c r="H30" i="8"/>
  <c r="G30" i="8"/>
  <c r="I31" i="8" l="1"/>
  <c r="H31" i="8"/>
  <c r="G31" i="8"/>
  <c r="T10" i="8"/>
  <c r="E41" i="8"/>
  <c r="C14" i="8"/>
  <c r="C16" i="8" s="1"/>
  <c r="D11" i="8" s="1"/>
  <c r="C17" i="8" l="1"/>
  <c r="D12" i="8" l="1"/>
  <c r="D13" i="8" l="1"/>
  <c r="D15" i="8" l="1"/>
  <c r="D14" i="8"/>
  <c r="D17" i="8" l="1"/>
  <c r="D16" i="8"/>
  <c r="E11" i="8" s="1"/>
  <c r="E12" i="8" l="1"/>
  <c r="E13" i="8" l="1"/>
  <c r="E14" i="8" l="1"/>
  <c r="E15" i="8"/>
  <c r="E17" i="8" l="1"/>
  <c r="E16" i="8"/>
  <c r="F11" i="8" s="1"/>
  <c r="F12" i="8" l="1"/>
  <c r="F13" i="8" l="1"/>
  <c r="F15" i="8" l="1"/>
  <c r="F14" i="8"/>
  <c r="F16" i="8" s="1"/>
  <c r="C32" i="8" l="1"/>
  <c r="C43" i="8"/>
  <c r="G11" i="8"/>
  <c r="F17" i="8"/>
  <c r="G12" i="8" l="1"/>
  <c r="D42" i="8"/>
  <c r="G13" i="8"/>
  <c r="G15" i="8" l="1"/>
  <c r="G14" i="8"/>
  <c r="G16" i="8" s="1"/>
  <c r="H11" i="8" s="1"/>
  <c r="G17" i="8" l="1"/>
  <c r="H12" i="8" l="1"/>
  <c r="H13" i="8" l="1"/>
  <c r="H14" i="8" l="1"/>
  <c r="H15" i="8"/>
  <c r="H16" i="8" l="1"/>
  <c r="I11" i="8" s="1"/>
  <c r="H17" i="8"/>
  <c r="I12" i="8" l="1"/>
  <c r="I13" i="8"/>
  <c r="I14" i="8" l="1"/>
  <c r="I15" i="8"/>
  <c r="I17" i="8" l="1"/>
  <c r="I16" i="8"/>
  <c r="J11" i="8" s="1"/>
  <c r="J12" i="8" l="1"/>
  <c r="J13" i="8" l="1"/>
  <c r="J15" i="8" l="1"/>
  <c r="J14" i="8"/>
  <c r="J17" i="8" l="1"/>
  <c r="J16" i="8"/>
  <c r="D32" i="8" l="1"/>
  <c r="K11" i="8"/>
  <c r="K12" i="8"/>
  <c r="K13" i="8" l="1"/>
  <c r="K15" i="8" l="1"/>
  <c r="K14" i="8"/>
  <c r="K16" i="8" s="1"/>
  <c r="E32" i="8" l="1"/>
  <c r="L11" i="8"/>
  <c r="K17" i="8"/>
  <c r="L12" i="8" l="1"/>
  <c r="S12" i="8" s="1"/>
  <c r="S11" i="8"/>
  <c r="L13" i="8"/>
  <c r="S13" i="8" l="1"/>
  <c r="L15" i="8"/>
  <c r="S15" i="8" s="1"/>
  <c r="L14" i="8"/>
  <c r="S14" i="8" l="1"/>
  <c r="L17" i="8"/>
  <c r="L16" i="8"/>
  <c r="F32" i="8" l="1"/>
  <c r="D43" i="8"/>
  <c r="M11" i="8"/>
  <c r="S16" i="8"/>
  <c r="M12" i="8"/>
  <c r="S17" i="8"/>
  <c r="E42" i="8" l="1"/>
  <c r="M13" i="8"/>
  <c r="M14" i="8" l="1"/>
  <c r="M15" i="8"/>
  <c r="M17" i="8" l="1"/>
  <c r="M16" i="8"/>
  <c r="I32" i="8" l="1"/>
  <c r="N11" i="8"/>
  <c r="H32" i="8"/>
  <c r="G32" i="8"/>
  <c r="E43" i="8"/>
  <c r="N12" i="8"/>
  <c r="F42" i="8" l="1"/>
  <c r="N13" i="8"/>
  <c r="N15" i="8" l="1"/>
  <c r="N14" i="8"/>
  <c r="N16" i="8" s="1"/>
  <c r="F43" i="8" l="1"/>
  <c r="L32" i="8"/>
  <c r="J32" i="8"/>
  <c r="O11" i="8"/>
  <c r="K32" i="8"/>
  <c r="N17" i="8"/>
  <c r="O12" i="8" l="1"/>
  <c r="O13" i="8" s="1"/>
  <c r="G42" i="8"/>
  <c r="O15" i="8" l="1"/>
  <c r="O14" i="8"/>
  <c r="O16" i="8" l="1"/>
  <c r="N32" i="8" s="1"/>
  <c r="O32" i="8"/>
  <c r="P11" i="8"/>
  <c r="G43" i="8"/>
  <c r="M32" i="8"/>
  <c r="O17" i="8"/>
  <c r="P12" i="8" l="1"/>
  <c r="H42" i="8"/>
  <c r="P13" i="8"/>
  <c r="P14" i="8" l="1"/>
  <c r="P15" i="8"/>
  <c r="P16" i="8" l="1"/>
  <c r="P17" i="8"/>
  <c r="Q12" i="8" l="1"/>
  <c r="P32" i="8"/>
  <c r="Q11" i="8"/>
  <c r="Q13" i="8" s="1"/>
  <c r="Q14" i="8" l="1"/>
  <c r="Q15" i="8"/>
  <c r="Q16" i="8" l="1"/>
  <c r="Q17" i="8"/>
  <c r="R12" i="8" l="1"/>
  <c r="T12" i="8" s="1"/>
  <c r="Q32" i="8"/>
  <c r="R11" i="8"/>
  <c r="R13" i="8" l="1"/>
  <c r="T11" i="8"/>
  <c r="R15" i="8" l="1"/>
  <c r="T15" i="8" s="1"/>
  <c r="T13" i="8"/>
  <c r="R14" i="8"/>
  <c r="T14" i="8" l="1"/>
  <c r="R17" i="8"/>
  <c r="T17" i="8" s="1"/>
  <c r="R16" i="8"/>
  <c r="H43" i="8" l="1"/>
  <c r="R32" i="8"/>
  <c r="T16" i="8"/>
</calcChain>
</file>

<file path=xl/sharedStrings.xml><?xml version="1.0" encoding="utf-8"?>
<sst xmlns="http://schemas.openxmlformats.org/spreadsheetml/2006/main" count="1019" uniqueCount="500">
  <si>
    <t>AMAZON PORTUGAL DSP
Modelo Financeiro / Financial Model</t>
  </si>
  <si>
    <t>Lisboa / Lisbon - Inicio/Start Set/Sep 2026 - Anos civis 2026 | 2027 (pressupostos lado a lado)</t>
  </si>
  <si>
    <t>PARAMETROS-CHAVE / KEY PARAMETERS</t>
  </si>
  <si>
    <t>Estrutura / Structure</t>
  </si>
  <si>
    <t>Semanas (Set-Out 26) + meses (Nov-Dez 26) + trimestres (2027)</t>
  </si>
  <si>
    <t>Pressupostos / Assumptions</t>
  </si>
  <si>
    <t>2 colunas lado a lado: Valor 2026 | Valor 2027</t>
  </si>
  <si>
    <t>Taxa base / Base rate</t>
  </si>
  <si>
    <t>€17.90/h x 9h = €161.10/rota</t>
  </si>
  <si>
    <t>PPR</t>
  </si>
  <si>
    <t>2026: €0.08 (c/ ramp) | 2027: €0.04 (so core)</t>
  </si>
  <si>
    <t>Rotas / Routes</t>
  </si>
  <si>
    <t>Ramp 5-&gt;25 (8 sem) | Pico ate 50 (Nov-Dez)</t>
  </si>
  <si>
    <t>Mao-de-obra / Labour</t>
  </si>
  <si>
    <t>Permanentes + Temporarios ETT nos picos</t>
  </si>
  <si>
    <t>Prazos / Terms</t>
  </si>
  <si>
    <t>Recebimento Amazon Net 45 | fornecedores Net 30 (editavel)</t>
  </si>
  <si>
    <t>Capital inicial</t>
  </si>
  <si>
    <t>€80,000</t>
  </si>
  <si>
    <t>ESTRUTURA / STRUCTURE</t>
  </si>
  <si>
    <t>2</t>
  </si>
  <si>
    <t>Inputs 2026 | 2027 lado a lado + calendario operacional</t>
  </si>
  <si>
    <t>3</t>
  </si>
  <si>
    <t>Operacao / Operations</t>
  </si>
  <si>
    <t>Rotas e volumes (detalhe + trimestral)</t>
  </si>
  <si>
    <t>4</t>
  </si>
  <si>
    <t>Receita / Revenue</t>
  </si>
  <si>
    <t>Taxa base, PPR, combustivel, portagens, SLS</t>
  </si>
  <si>
    <t>5</t>
  </si>
  <si>
    <t>Salarios / Wages</t>
  </si>
  <si>
    <t>Permanentes + Temporarios ETT + gestor + admin</t>
  </si>
  <si>
    <t>6</t>
  </si>
  <si>
    <t>Custos / Costs</t>
  </si>
  <si>
    <t>Mao-de-obra, frota, overheads</t>
  </si>
  <si>
    <t>7</t>
  </si>
  <si>
    <t>DRE / P&amp;L</t>
  </si>
  <si>
    <t>Resultados (detalhe + trimestral)</t>
  </si>
  <si>
    <t>8</t>
  </si>
  <si>
    <t>Tesouraria / Cash Flow</t>
  </si>
  <si>
    <t>Fluxo de caixa e saldo (inclui impacto IVA)</t>
  </si>
  <si>
    <t>9</t>
  </si>
  <si>
    <t>IVA / VAT</t>
  </si>
  <si>
    <t>Apuramento detalhado e impacto na caixa</t>
  </si>
  <si>
    <t>10</t>
  </si>
  <si>
    <t>Ponto Critico / Break-Even</t>
  </si>
  <si>
    <t>Rotas minimas (regime 2026)</t>
  </si>
  <si>
    <t>PRESSUPOSTOS / ASSUMPTIONS  -  Valores 2026 | 2027 lado a lado / side by side</t>
  </si>
  <si>
    <t>Edita a coluna do ano respetivo. Onde o valor nao muda, 2026 e 2027 sao iguais. / Edit each year column; equal where unchanged.</t>
  </si>
  <si>
    <t>A. RECEITA / REVENUE</t>
  </si>
  <si>
    <t>Parametro / Parameter</t>
  </si>
  <si>
    <t>Valor 2026</t>
  </si>
  <si>
    <t>Valor 2027</t>
  </si>
  <si>
    <t>Unidade / Unit</t>
  </si>
  <si>
    <t>Fonte-Nota / Source-Note</t>
  </si>
  <si>
    <t>Taxa horaria base / Hourly base rate</t>
  </si>
  <si>
    <t>€/h</t>
  </si>
  <si>
    <t>Amazon PT DSP Guide (2027: revisao anual)</t>
  </si>
  <si>
    <t>Duracao rota / Route duration</t>
  </si>
  <si>
    <t>h</t>
  </si>
  <si>
    <t>Amazon PT DSP Guide</t>
  </si>
  <si>
    <t>Pagamento rota (base x h) / Route payment</t>
  </si>
  <si>
    <t>€/rota</t>
  </si>
  <si>
    <t>Calculado / Calculated</t>
  </si>
  <si>
    <t>PPR - base / core</t>
  </si>
  <si>
    <t>€/enc</t>
  </si>
  <si>
    <t>PPR - incentivo ramp / ramp incentive</t>
  </si>
  <si>
    <t>2027: incentivo de ramp acaba no ano 1 / ends Y1</t>
  </si>
  <si>
    <t>PPR total</t>
  </si>
  <si>
    <t>Calculado</t>
  </si>
  <si>
    <t>Encomendas/rota / Packages per route</t>
  </si>
  <si>
    <t>enc</t>
  </si>
  <si>
    <t>Km por rota / km per route</t>
  </si>
  <si>
    <t>km</t>
  </si>
  <si>
    <t>Preco gasoleo / Diesel price</t>
  </si>
  <si>
    <t>€/L</t>
  </si>
  <si>
    <t>DGEG (2027: estimativa subida)</t>
  </si>
  <si>
    <t>Consumo / Consumption</t>
  </si>
  <si>
    <t>L/100km</t>
  </si>
  <si>
    <t>Est. Sprinter/Crafter</t>
  </si>
  <si>
    <t>Reembolso combustivel/rota / Fuel reimb.</t>
  </si>
  <si>
    <t>Portagens/rota / Tolls per route</t>
  </si>
  <si>
    <t>Est. A1/A8 Lisboa</t>
  </si>
  <si>
    <t>Incentivo SLS / SLS incentive (mensal)</t>
  </si>
  <si>
    <t>€/mes</t>
  </si>
  <si>
    <t>Sujeito a desempenho</t>
  </si>
  <si>
    <t>B. OPERACAO / OPERATIONS</t>
  </si>
  <si>
    <t>Rotas arranque (Sem1) / Launch routes (W1)</t>
  </si>
  <si>
    <t>rotas/dia</t>
  </si>
  <si>
    <t>Rotas regime / Steady-state routes</t>
  </si>
  <si>
    <t>Amazon PT DSP Guide - base permanente</t>
  </si>
  <si>
    <t>Rotas pico / Peak routes (Nov-Dez)</t>
  </si>
  <si>
    <t>Dias operacionais/semana / Op. days per week</t>
  </si>
  <si>
    <t>dias</t>
  </si>
  <si>
    <t>Seg-Sab / Mon-Sat</t>
  </si>
  <si>
    <t>Dias operacionais/mes / Op. days per month</t>
  </si>
  <si>
    <t>Media / Average</t>
  </si>
  <si>
    <t>C. FROTA E CAPEX / FLEET &amp; CAPEX</t>
  </si>
  <si>
    <t>Frota propria / Own fleet (regime)</t>
  </si>
  <si>
    <t>vans</t>
  </si>
  <si>
    <t xml:space="preserve"> rotas regime</t>
  </si>
  <si>
    <t>Buffer de frota / Fleet buffer %</t>
  </si>
  <si>
    <t>%</t>
  </si>
  <si>
    <t>Carrinhas de reserva p/ avarias/manutencao/inspecoes (15%)</t>
  </si>
  <si>
    <t>Leasing por van/mes / Lease per van/month</t>
  </si>
  <si>
    <t>€/van</t>
  </si>
  <si>
    <t>Est. 36m (contrato fixo)</t>
  </si>
  <si>
    <t>Seguro por van/mes / Insurance per van/month</t>
  </si>
  <si>
    <t>Apolice frota (2027: +)</t>
  </si>
  <si>
    <t>Manutencao por van/mes / Maintenance per van/month</t>
  </si>
  <si>
    <t>Padrao (2027: vans + velhas)</t>
  </si>
  <si>
    <t>Aluguer pico por van/mes / Peak rental per van/month</t>
  </si>
  <si>
    <t>Aluguer 3m</t>
  </si>
  <si>
    <t>Reserva dispositivos / Device reserve</t>
  </si>
  <si>
    <t>Contrato Amazon</t>
  </si>
  <si>
    <t>D. MAO-DE-OBRA / LABOUR</t>
  </si>
  <si>
    <t>Salario DA por hora (bruto) / DA hourly wage (gross)</t>
  </si>
  <si>
    <t>Acima do minimo (€5,88/h); compromisso competitividade/rentabilidade</t>
  </si>
  <si>
    <t>Salario DA mensal (=hora x 2080/12) / DA monthly wage</t>
  </si>
  <si>
    <t>Calculado: hora x 2080h/ano / 12 meses (metodo PT)</t>
  </si>
  <si>
    <t>Taxa SS patronal / Employer SS rate</t>
  </si>
  <si>
    <t>Seg. Social PT - 23.75%</t>
  </si>
  <si>
    <t>Custo total DA c/SS / DA total cost incl. SS</t>
  </si>
  <si>
    <t>Salario gestor por hora (bruto) / Manager hourly wage</t>
  </si>
  <si>
    <t>Gestor de operacoes c/ CAM - acima do motorista (2027: +~3%)</t>
  </si>
  <si>
    <t>Salario gestor mensal (=hora x 2080/12) / Manager monthly</t>
  </si>
  <si>
    <t>Calculado: hora x 2080h/ano / 12 meses</t>
  </si>
  <si>
    <t>Custo total gestor c/SS / Manager total cost</t>
  </si>
  <si>
    <t>Rotatividade anual DA / DA annual turnover</t>
  </si>
  <si>
    <t>Reduzida por salario competitivo (vs 25% no minimo)</t>
  </si>
  <si>
    <t>Custo recrutamento/DA / Recruitment cost per DA</t>
  </si>
  <si>
    <t>€/contrat</t>
  </si>
  <si>
    <t>Anuncios+onboarding</t>
  </si>
  <si>
    <t>Buffer de motoristas / Driver buffer %</t>
  </si>
  <si>
    <t>Reserva p/ ferias(~9%)+faltas/baixas(~6%)+formacao(~5%)=20%</t>
  </si>
  <si>
    <t>Fator depreciacao mensal / Monthly depreciation</t>
  </si>
  <si>
    <t>%/mes</t>
  </si>
  <si>
    <t>Sobre valor frota</t>
  </si>
  <si>
    <t>E. SALARIOS DETALHADOS / DETAILED WAGES</t>
  </si>
  <si>
    <t>Meses pagos / Months paid (14/12)</t>
  </si>
  <si>
    <t>fator</t>
  </si>
  <si>
    <t>Subs. Natal+ferias</t>
  </si>
  <si>
    <t>SS trabalhador / Employee SS</t>
  </si>
  <si>
    <t>Seg. Social PT - 11%</t>
  </si>
  <si>
    <t>Subsidio alimentacao/dia / Food subsidy per day</t>
  </si>
  <si>
    <t>€/dia</t>
  </si>
  <si>
    <t>Isento ate ao limite; acima paga SS</t>
  </si>
  <si>
    <t>Limite isencao SS subsidio (dinheiro=6 / cartao=10,46) / Exempt limit</t>
  </si>
  <si>
    <t>Dinheiro: isento ate €6,00; cartao: ate €10,46. Acima -&gt; SS sobre excesso</t>
  </si>
  <si>
    <t>Dias uteis/mes / Working days per month</t>
  </si>
  <si>
    <t>Para sub. alimentacao</t>
  </si>
  <si>
    <t>Retencao IRS - DA / IRS withholding - driver</t>
  </si>
  <si>
    <t>Tabela IRS PT</t>
  </si>
  <si>
    <t>Retencao IRS - Gestor / IRS - manager</t>
  </si>
  <si>
    <t>Nº gestores / Managers</t>
  </si>
  <si>
    <t>pessoas</t>
  </si>
  <si>
    <t>Gestor operacoes</t>
  </si>
  <si>
    <t>Salario admin por hora (bruto) / Admin hourly wage</t>
  </si>
  <si>
    <t>Assistente administrativo - acima do minimo (2027: +~3%)</t>
  </si>
  <si>
    <t>Salario admin mensal (=hora x 2080/12) / Admin monthly</t>
  </si>
  <si>
    <t>Nº administrativos / Admin staff</t>
  </si>
  <si>
    <t>Apoio administrativo</t>
  </si>
  <si>
    <t>Coef. trabalho temporario (ETT) / Temp agency coeff.</t>
  </si>
  <si>
    <t>Salario x coef (inclui SS, subsidios e margem da agencia)</t>
  </si>
  <si>
    <t>F. OVERHEADS FIXOS / FIXED OVERHEAD</t>
  </si>
  <si>
    <t>Contabilidade / Accounting</t>
  </si>
  <si>
    <t>Contabilista (2027: +~3%)</t>
  </si>
  <si>
    <t>Seguro resp. civil / GL insurance</t>
  </si>
  <si>
    <t>€1M (2027: +~3%)</t>
  </si>
  <si>
    <t>Dispositivos/SIM por DA / Devices per DA</t>
  </si>
  <si>
    <t>€/DA/mes</t>
  </si>
  <si>
    <t>SIM + dispositivo</t>
  </si>
  <si>
    <t>Diversos/contingencia / Misc</t>
  </si>
  <si>
    <t>Fardas (2027: +~3%)</t>
  </si>
  <si>
    <t>Capital inicial disponivel / Initial capital</t>
  </si>
  <si>
    <t>€</t>
  </si>
  <si>
    <t>IRC (taxa) / Corporate tax rate</t>
  </si>
  <si>
    <t>IRC PT</t>
  </si>
  <si>
    <t>G. INSTALACOES / FACILITIES (parque das carrinhas / van yard)</t>
  </si>
  <si>
    <t>Aluguer parque/armazem / Yard-warehouse rent</t>
  </si>
  <si>
    <t>Espaco com lugares p/ todas as carrinhas (2027: +~3%)</t>
  </si>
  <si>
    <t>H. IVA / VAT</t>
  </si>
  <si>
    <t>Taxa IVA normal / Standard VAT rate</t>
  </si>
  <si>
    <t>Taxa normal PT - 23%</t>
  </si>
  <si>
    <t>% IVA dedutivel combustivel / VAT deductible on fuel</t>
  </si>
  <si>
    <t>Gasoleo em ligeiros: deducao parcial PT (~50%)</t>
  </si>
  <si>
    <t>% IVA dedutivel viaturas/leasing / VAT deductible on vehicles</t>
  </si>
  <si>
    <t>Viaturas ligeiras de passageiros: nao dedutivel; comerciais: 100% (ajustar)</t>
  </si>
  <si>
    <t>Periodicidade IVA (meses) / VAT period (months)</t>
  </si>
  <si>
    <t>meses</t>
  </si>
  <si>
    <t>Trimestral (volume&gt;=650k: mensal)</t>
  </si>
  <si>
    <t>I. PRAZOS DE PAGAMENTO / PAYMENT TERMS (tesouraria / cash timing)</t>
  </si>
  <si>
    <t>Prazo recebimento Amazon (DSO) / Days to receive from Amazon</t>
  </si>
  <si>
    <t>Net 45 estimado (negociar c/ BDM) / estimate</t>
  </si>
  <si>
    <t>Prazo pagamento fornecedores (DPO) / Days to pay suppliers</t>
  </si>
  <si>
    <t>Frota/servicos/overheads ~Net 30</t>
  </si>
  <si>
    <t>Prazo pagamento salarios / Days to pay wages</t>
  </si>
  <si>
    <t>Salarios pagos no mes (imediato)</t>
  </si>
  <si>
    <t>Linha de credito disponivel / Credit line limit</t>
  </si>
  <si>
    <t>Conta-corrente caucionada p/ cobrir pico de tesouraria</t>
  </si>
  <si>
    <t>Taxa juro anual linha credito / Annual interest rate</t>
  </si>
  <si>
    <t>Estimativa (Euribor+spread) - negociar c/ banco</t>
  </si>
  <si>
    <t>J. CALENDARIO OPERACIONAL POR PERIODO / OPERATIONAL SCHEDULE BY PERIOD (editavel)</t>
  </si>
  <si>
    <t>S1
Set/Sep 26</t>
  </si>
  <si>
    <t>S2
Set/Sep 26</t>
  </si>
  <si>
    <t>S3
Set/Sep 26</t>
  </si>
  <si>
    <t>S4
Set/Sep 26</t>
  </si>
  <si>
    <t>S5
Out/Oct 26</t>
  </si>
  <si>
    <t>S6
Out/Oct 26</t>
  </si>
  <si>
    <t>S7
Out/Oct 26</t>
  </si>
  <si>
    <t>S8
Out/Oct 26</t>
  </si>
  <si>
    <t>Nov
Nov 26 (Pico/Peak)</t>
  </si>
  <si>
    <t>Dez
Dez/Dec 26 (Pico/Peak)</t>
  </si>
  <si>
    <t>Q1'27
Jan-Mar 27</t>
  </si>
  <si>
    <t>Q2'27
Abr-Jun/Apr-Jun 27</t>
  </si>
  <si>
    <t>Q3'27
Jul-Set/Jul-Sep 27</t>
  </si>
  <si>
    <t>Out'27
Out/Oct 27</t>
  </si>
  <si>
    <t>Nov'27
Nov 27 (Pico/Peak)</t>
  </si>
  <si>
    <t>Dez'27
Dez/Dec 27 (Pico/Peak)</t>
  </si>
  <si>
    <t>Dias operacionais / Operating days</t>
  </si>
  <si>
    <t>Rotas/dia (plano) / Routes/day (plan)</t>
  </si>
  <si>
    <t>Indice volume / Volume index</t>
  </si>
  <si>
    <t>OPERACAO - ROTAS E VOLUMES / OPERATIONS - ROUTES &amp; VOLUMES</t>
  </si>
  <si>
    <t>ANO 2026 / YEAR 2026 (Ago-Dez/Aug-Dec)</t>
  </si>
  <si>
    <t>ANO 2027 / YEAR 2027</t>
  </si>
  <si>
    <t>Rubrica / Item</t>
  </si>
  <si>
    <t>Total
2026</t>
  </si>
  <si>
    <t>Total
2027</t>
  </si>
  <si>
    <t>Periodos-mes (dias/26) / Period-months</t>
  </si>
  <si>
    <t>Rotas-dia totais / Total route-days</t>
  </si>
  <si>
    <t>Encomendas totais / Total packages</t>
  </si>
  <si>
    <t>CARRINHAS DISPONIVEIS / VANS AVAILABLE</t>
  </si>
  <si>
    <t xml:space="preserve">  Carrinhas proprias (leasing) / Own vans (leasing)</t>
  </si>
  <si>
    <t xml:space="preserve">  Carrinhas aluguer pico / Peak rental vans</t>
  </si>
  <si>
    <t xml:space="preserve">  TOTAL CARRINHAS DISPONIVEIS / TOTAL VANS</t>
  </si>
  <si>
    <t>MOTORISTAS DISPONIVEIS / DRIVERS AVAILABLE</t>
  </si>
  <si>
    <t xml:space="preserve">  Motoristas permanentes / Permanent drivers</t>
  </si>
  <si>
    <t xml:space="preserve">  Motoristas temporarios ETT / Temp agency drivers</t>
  </si>
  <si>
    <t xml:space="preserve">  TOTAL MOTORISTAS DISPONIVEIS / TOTAL DRIVERS</t>
  </si>
  <si>
    <t>RESUMO MENSAL / MONTHLY BREAKDOWN</t>
  </si>
  <si>
    <t>2026 (Set-Dez)</t>
  </si>
  <si>
    <t>2027</t>
  </si>
  <si>
    <t>POR MES / BY MONTH</t>
  </si>
  <si>
    <t>Set/Sep 26</t>
  </si>
  <si>
    <t>Out/Oct 26</t>
  </si>
  <si>
    <t>Nov 26</t>
  </si>
  <si>
    <t>Dez/Dec 26</t>
  </si>
  <si>
    <t>Jan 27</t>
  </si>
  <si>
    <t>Fev/Feb 27</t>
  </si>
  <si>
    <t>Mar 27</t>
  </si>
  <si>
    <t>Abr/Apr 27</t>
  </si>
  <si>
    <t>Mai/May 27</t>
  </si>
  <si>
    <t>Jun 27</t>
  </si>
  <si>
    <t>Jul 27</t>
  </si>
  <si>
    <t>Ago/Aug 27</t>
  </si>
  <si>
    <t>Set/Sep 27</t>
  </si>
  <si>
    <t>Out/Oct 27</t>
  </si>
  <si>
    <t>Nov 27</t>
  </si>
  <si>
    <t>Dez/Dec 27</t>
  </si>
  <si>
    <t>Carrinhas proprias (max) / Own vans</t>
  </si>
  <si>
    <t>Carrinhas aluguer (max) / Rental vans</t>
  </si>
  <si>
    <t>TOTAL carrinhas (max) / Total vans</t>
  </si>
  <si>
    <t>Motoristas permanentes (max) / Permanent</t>
  </si>
  <si>
    <t>Motoristas temp ETT (max) / Temp</t>
  </si>
  <si>
    <t>TOTAL motoristas (max) / Total drivers</t>
  </si>
  <si>
    <t>RESUMO TRIMESTRAL / QUARTERLY BREAKDOWN</t>
  </si>
  <si>
    <t>2026</t>
  </si>
  <si>
    <t>POR TRIMESTRE / BY QUARTER</t>
  </si>
  <si>
    <t>Q3 2026
Set/Sep 26</t>
  </si>
  <si>
    <t>Q4 2026
Out-Dez/Oct-Dec 26</t>
  </si>
  <si>
    <t>Q1 2027
Jan-Mar 27</t>
  </si>
  <si>
    <t>Q2 2027
Abr-Jun/Apr-Jun 27</t>
  </si>
  <si>
    <t>Q3 2027
Jul-Set/Jul-Sep 27</t>
  </si>
  <si>
    <t>Q4 2027
Out-Dez/Oct-Dec 27</t>
  </si>
  <si>
    <t>RECEITA / REVENUE</t>
  </si>
  <si>
    <t>A. Receita rota (taxa base) / Route revenue</t>
  </si>
  <si>
    <t>B. Receita por peca / PPR</t>
  </si>
  <si>
    <t>C. Reembolso combustivel / Fuel reimb.</t>
  </si>
  <si>
    <t>D. Reembolso portagens / Tolls reimb.</t>
  </si>
  <si>
    <t>E. Incentivo SLS / SLS incentive</t>
  </si>
  <si>
    <t>RECEITA TOTAL / TOTAL REVENUE</t>
  </si>
  <si>
    <t>A. Receita rota / Route revenue</t>
  </si>
  <si>
    <t>B. PPR</t>
  </si>
  <si>
    <t>C. Combustivel / Fuel</t>
  </si>
  <si>
    <t>D. Portagens / Tolls</t>
  </si>
  <si>
    <t>E. SLS</t>
  </si>
  <si>
    <t>SALARIOS, SUBSIDIOS E ENCARGOS / WAGES, ALLOWANCES &amp; CONTRIBUTIONS</t>
  </si>
  <si>
    <t>Metodologia PT: 14 meses em 12 | Sub.alimentacao isento | SS trab.11% + patronal 23.75% | IRS por funcao | Temporarios via ETT = salario x coef. (agencia trata SS/subsidios/margem). Valores 2026/2027 conforme Pressupostos.</t>
  </si>
  <si>
    <t>A. MOTORISTAS PERMANENTES / PERMANENT DRIVERS</t>
  </si>
  <si>
    <t>Nº permanentes / Permanent headcount</t>
  </si>
  <si>
    <t>Salario base bruto / Gross base wage</t>
  </si>
  <si>
    <t>Subs. Natal+ferias / Christmas+holiday</t>
  </si>
  <si>
    <t>Subs. alimentacao / Food subsidy</t>
  </si>
  <si>
    <t>Remuneracao bruta total / Total gross</t>
  </si>
  <si>
    <t>SS patronal (23.75%) + s/ excesso sub. / Employer SS</t>
  </si>
  <si>
    <t>SS trabalhador (11%) / Employee SS</t>
  </si>
  <si>
    <t>Retencao IRS / IRS withholding</t>
  </si>
  <si>
    <t>Salario liquido / Net wage</t>
  </si>
  <si>
    <t>CUSTO EMPRESA Permanentes / TOTAL PERMANENT COST</t>
  </si>
  <si>
    <t>B. MOTORISTAS TEMPORARIOS - ETT / TEMPORARY AGENCY DRIVERS</t>
  </si>
  <si>
    <t>Nº temporarios / Temp headcount</t>
  </si>
  <si>
    <t>Custo faturado base (salario x meses) / Billed base</t>
  </si>
  <si>
    <t>CUSTO EMPRESA Temporarios (x coef.) / TOTAL TEMP COST</t>
  </si>
  <si>
    <t>C. GESTOR DE OPERACOES / OPERATIONS MANAGER</t>
  </si>
  <si>
    <t>CUSTO EMPRESA Gestor / TOTAL MANAGER COST</t>
  </si>
  <si>
    <t>D. ASSISTENTE ADMINISTRATIVO / ADMIN ASSISTANT</t>
  </si>
  <si>
    <t>CUSTO EMPRESA Admin / TOTAL ADMIN COST</t>
  </si>
  <si>
    <t>E. RECRUTAMENTO / RECRUITMENT (so permanentes)</t>
  </si>
  <si>
    <t>Custo recrutamento (turnover) / Recruitment</t>
  </si>
  <si>
    <t>F. RESUMO CUSTOS COM PESSOAL / STAFF COST SUMMARY</t>
  </si>
  <si>
    <t>Permanentes (motoristas) / Permanent drivers</t>
  </si>
  <si>
    <t>Temporarios ETT / Temp agency</t>
  </si>
  <si>
    <t>Gestor + Admin / Manager + Admin</t>
  </si>
  <si>
    <t>Recrutamento / Recruitment</t>
  </si>
  <si>
    <t>CUSTO TOTAL PESSOAL / TOTAL STAFF COST</t>
  </si>
  <si>
    <t>(memo) SS+IRS a entregar / SS+IRS payable</t>
  </si>
  <si>
    <t>Permanentes / Permanent</t>
  </si>
  <si>
    <t>CUSTOS / COSTS</t>
  </si>
  <si>
    <t>-- MAO-DE-OBRA / LABOUR --</t>
  </si>
  <si>
    <t>SUBTOTAL MAO-DE-OBRA / LABOUR</t>
  </si>
  <si>
    <t>-- FROTA / FLEET --</t>
  </si>
  <si>
    <t>Leasing frota propria / Own fleet lease</t>
  </si>
  <si>
    <t>Seguro frota / Fleet insurance</t>
  </si>
  <si>
    <t>Manutencao / Maintenance</t>
  </si>
  <si>
    <t>Aluguer pico / Peak rental</t>
  </si>
  <si>
    <t>SUBTOTAL FROTA / FLEET</t>
  </si>
  <si>
    <t>-- OVERHEADS / OVERHEAD --</t>
  </si>
  <si>
    <t>Dispositivos/SIM / Devices-SIMs</t>
  </si>
  <si>
    <t>Diversos / Miscellaneous</t>
  </si>
  <si>
    <t>SUBTOTAL OVERHEADS / OVERHEAD</t>
  </si>
  <si>
    <t>-- INSTALACOES / FACILITIES --</t>
  </si>
  <si>
    <t>Aluguer parque carrinhas / Van yard rent</t>
  </si>
  <si>
    <t>SUBTOTAL INSTALACOES / FACILITIES</t>
  </si>
  <si>
    <t>CUSTOS OPERACIONAIS TOTAIS / TOTAL OPERATING COSTS</t>
  </si>
  <si>
    <t>Frota / Fleet</t>
  </si>
  <si>
    <t>Overheads / Overhead</t>
  </si>
  <si>
    <t>Instalacoes / Facilities</t>
  </si>
  <si>
    <t>CUSTOS OPERACIONAIS TOTAIS / TOTAL</t>
  </si>
  <si>
    <t>DEMONSTRACAO DE RESULTADOS / PROFIT &amp; LOSS</t>
  </si>
  <si>
    <t>Custos operacionais / Operating costs</t>
  </si>
  <si>
    <t>EBITDA</t>
  </si>
  <si>
    <t>Margem EBITDA / EBITDA margin %</t>
  </si>
  <si>
    <t>Depreciacao / Depreciation</t>
  </si>
  <si>
    <t>EBIT</t>
  </si>
  <si>
    <t>Juros / Interest</t>
  </si>
  <si>
    <t>EBT (Result. antes imp.) / Pre-tax</t>
  </si>
  <si>
    <t>IRC (21%)</t>
  </si>
  <si>
    <t>RESULTADO LIQUIDO / NET PROFIT (LOSS)</t>
  </si>
  <si>
    <t>Margem liquida / Net margin %</t>
  </si>
  <si>
    <t>TESOURARIA / CASH FLOW</t>
  </si>
  <si>
    <t>Resultado liquido / Net profit (loss)</t>
  </si>
  <si>
    <t>(+) Depreciacao / Depreciation add-back</t>
  </si>
  <si>
    <t>(+/-) Fundo maneio (receb./pagam.) + IVA / Working capital + VAT</t>
  </si>
  <si>
    <t>CASH FLOW OPERACIONAL / OPERATING CF</t>
  </si>
  <si>
    <t>(-) CAPEX</t>
  </si>
  <si>
    <t>(-) Investimento inicial / Initial outlay</t>
  </si>
  <si>
    <t>CASH FLOW LIVRE / FREE CASH FLOW</t>
  </si>
  <si>
    <t>Saldo inicial / Opening balance</t>
  </si>
  <si>
    <t>(-) Juros linha credito / Credit interest</t>
  </si>
  <si>
    <t>Saldo antes financiamento / Cash before financing</t>
  </si>
  <si>
    <t>(+) Utilizacao linha credito / Credit drawdown</t>
  </si>
  <si>
    <t>(-) Reembolso linha credito / Repayment</t>
  </si>
  <si>
    <t>SALDO FINAL / CLOSING BALANCE</t>
  </si>
  <si>
    <t>Divida linha credito (fim) / Credit outstanding</t>
  </si>
  <si>
    <t>MEMO - DESFASAMENTO RECEB./PAGAM. / RECEIVABLES &amp; PAYABLES TIMING</t>
  </si>
  <si>
    <t>Saldo a receber da Amazon (fim periodo) / Receivables (period end)</t>
  </si>
  <si>
    <t>Saldo a pagar fornecedores (fim periodo) / Payables (period end)</t>
  </si>
  <si>
    <t xml:space="preserve">  Variacao a receber / Change in receivables</t>
  </si>
  <si>
    <t xml:space="preserve">  Variacao a pagar / Change in payables</t>
  </si>
  <si>
    <t>Resultado liquido / Net profit</t>
  </si>
  <si>
    <t>(+) Depreciacao</t>
  </si>
  <si>
    <t>IVA / VAT - APURAMENTO E IMPACTO NA TESOURARIA / VAT SETTLEMENT &amp; CASH IMPACT</t>
  </si>
  <si>
    <t>A. IVA LIQUIDADO (cobrado a jusante) / OUTPUT VAT (charged to Amazon)</t>
  </si>
  <si>
    <t>IVA s/ faturacao Amazon (23%) / VAT on Amazon invoicing</t>
  </si>
  <si>
    <t>B. IVA DEDUTIVEL (suportado a montante) / INPUT VAT (deductible)</t>
  </si>
  <si>
    <t>Recrutamento (servicos) / Recruitment</t>
  </si>
  <si>
    <t>Trabalho temporario ETT (servicos) / Temp agency</t>
  </si>
  <si>
    <t>Leasing viaturas (deducao limitada) / Vehicle lease</t>
  </si>
  <si>
    <t>Aluguer carrinhas pico (deducao limitada) / Peak rental</t>
  </si>
  <si>
    <t>Dispositivos/reserva / Devices</t>
  </si>
  <si>
    <t>Combustivel (deducao parcial) / Fuel</t>
  </si>
  <si>
    <t>TOTAL IVA DEDUTIVEL / TOTAL INPUT VAT</t>
  </si>
  <si>
    <t>C. APURAMENTO / SETTLEMENT</t>
  </si>
  <si>
    <t>IVA do periodo (liquidado - dedutivel) / VAT of period</t>
  </si>
  <si>
    <t xml:space="preserve">  (&gt;0 = a pagar ao Estado / payable | &lt;0 = a recuperar / recoverable)</t>
  </si>
  <si>
    <t>D. IMPACTO NA TESOURARIA / CASH IMPACT (entrega no periodo seguinte / paid next period)</t>
  </si>
  <si>
    <t>(+) IVA recebido da Amazon / VAT received from Amazon</t>
  </si>
  <si>
    <t>(-) IVA pago nas compras / VAT paid on purchases</t>
  </si>
  <si>
    <t>(-) Entrega IVA ao Estado (apuramento periodo anterior) / VAT remittance (prior period)</t>
  </si>
  <si>
    <t>0</t>
  </si>
  <si>
    <t>(+) Recuperacao IVA do Estado (periodo anterior) / VAT refund (prior period)</t>
  </si>
  <si>
    <t>IMPACTO LIQUIDO IVA NA CAIXA / NET VAT CASH IMPACT</t>
  </si>
  <si>
    <t>ANALISE DE RENTABILIDADE / PROFITABILITY ANALYSIS</t>
  </si>
  <si>
    <t>2026 (€)</t>
  </si>
  <si>
    <t>2027 (€)</t>
  </si>
  <si>
    <t>% Rec. 2026</t>
  </si>
  <si>
    <t>% Rec. 2027</t>
  </si>
  <si>
    <t>Estrutura custos 2027</t>
  </si>
  <si>
    <t>Mao-de-obra</t>
  </si>
  <si>
    <t>Receita total / Total revenue</t>
  </si>
  <si>
    <t>Frota</t>
  </si>
  <si>
    <t>Overheads</t>
  </si>
  <si>
    <t>CUSTOS / COSTS (% da receita)</t>
  </si>
  <si>
    <t>Instalacoes</t>
  </si>
  <si>
    <t xml:space="preserve">   Permanentes / Permanent drivers</t>
  </si>
  <si>
    <t>Receita/Custos/Resultado</t>
  </si>
  <si>
    <t xml:space="preserve">   Temporarios ETT / Temp agency</t>
  </si>
  <si>
    <t xml:space="preserve">   Gestor + Admin / Manager + Admin</t>
  </si>
  <si>
    <t>Receita</t>
  </si>
  <si>
    <t xml:space="preserve">   Recrutamento / Recruitment</t>
  </si>
  <si>
    <t>Custos</t>
  </si>
  <si>
    <t>Resultado</t>
  </si>
  <si>
    <t>Instalacoes / Facilities (parque)</t>
  </si>
  <si>
    <t>CUSTOS TOTAIS / TOTAL COSTS</t>
  </si>
  <si>
    <t>RESULTADO / RESULT</t>
  </si>
  <si>
    <t>NOTA: A mao-de-obra e o maior custo. Ajusta o salario/hora e o buffer nos Pressupostos para ver o efeito na margem. / Labour is the biggest cost - adjust hourly wage &amp; buffer in Assumptions.</t>
  </si>
  <si>
    <t>ANALISE DE SENSIBILIDADES / SENSITIVITY ANALYSIS (ano 2027)</t>
  </si>
  <si>
    <t>Motor anual 2027 que reproduz o modelo. Cores: verde=lucro, vermelho=prejuizo. Nota: DSO afeta a CAIXA, nao o lucro.</t>
  </si>
  <si>
    <t>1. CENARIOS / SCENARIOS</t>
  </si>
  <si>
    <t>Driver / Variavel</t>
  </si>
  <si>
    <t>Pessimista</t>
  </si>
  <si>
    <t>Base (modelo)</t>
  </si>
  <si>
    <t>Otimista</t>
  </si>
  <si>
    <t>Salario motorista / Driver wage (€/h)</t>
  </si>
  <si>
    <t>Taxa base Amazon / Base rate (€/h)</t>
  </si>
  <si>
    <t>Buffer motoristas / Driver buffer</t>
  </si>
  <si>
    <t>Buffer frota / Fleet buffer</t>
  </si>
  <si>
    <t>Rotatividade / Turnover</t>
  </si>
  <si>
    <t>Volume (x base) / Volume mult.</t>
  </si>
  <si>
    <t>Overheads + Instalacoes</t>
  </si>
  <si>
    <t>EBT (antes imp.) / Pre-tax</t>
  </si>
  <si>
    <t>RESULTADO LIQUIDO / NET PROFIT</t>
  </si>
  <si>
    <t>Margem liquida / Net margin</t>
  </si>
  <si>
    <t>2. SENSIBILIDADE A 1 VARIAVEL / ONE-WAY (resultado liquido)</t>
  </si>
  <si>
    <t>Salario motorista (€/h)</t>
  </si>
  <si>
    <t xml:space="preserve">  -&gt; Resultado liquido / Net profit</t>
  </si>
  <si>
    <t>Taxa base Amazon (€/h)</t>
  </si>
  <si>
    <t>Buffer motoristas</t>
  </si>
  <si>
    <t>Buffer frota</t>
  </si>
  <si>
    <t>Rotatividade</t>
  </si>
  <si>
    <t>Volume (x base)</t>
  </si>
  <si>
    <t>3. MATRIZ 2D: Salario/h (linhas) x Taxa base (colunas) -&gt; Resultado liquido</t>
  </si>
  <si>
    <t>Salario \ Taxa base</t>
  </si>
  <si>
    <t>4. PONTOS DE EQUILIBRIO / BREAK-EVEN (na base)</t>
  </si>
  <si>
    <t>Salario/h maximo p/ lucro zero / Break-even wage</t>
  </si>
  <si>
    <t>Taxa base/h minima p/ lucro zero / Break-even base rate</t>
  </si>
  <si>
    <t>5. DSO - PRAZO RECEBIMENTO (impacto na CAIXA, nao no lucro)</t>
  </si>
  <si>
    <t>DSO (dias)</t>
  </si>
  <si>
    <t xml:space="preserve">  -&gt; Caixa retida no pico / Cash tied at peak</t>
  </si>
  <si>
    <t>LEITURA: a €7,00/h o negocio e rentavel. Salario break-even ~€9,6/h e o teto. Mais sensivel ao salario e a taxa base. DSO so afeta a caixa (resolvida pela linha de credito).</t>
  </si>
  <si>
    <t>PONTO CRITICO / BREAK-EVEN (regime 2026 / steady state)</t>
  </si>
  <si>
    <t>1. CUSTOS FIXOS MENSAIS / MONTHLY FIXED COSTS (2026)</t>
  </si>
  <si>
    <t>Item</t>
  </si>
  <si>
    <t>Mensal / Monthly</t>
  </si>
  <si>
    <t>Anual</t>
  </si>
  <si>
    <t>Nota</t>
  </si>
  <si>
    <t>Leasing frota / Fleet lease</t>
  </si>
  <si>
    <t>Frota (+buffer)</t>
  </si>
  <si>
    <t>Seguro (+buffer)</t>
  </si>
  <si>
    <t>Manut. (+buffer)</t>
  </si>
  <si>
    <t>Gestor (c/SS) / Manager</t>
  </si>
  <si>
    <t>Pessoal</t>
  </si>
  <si>
    <t>Admin (c/SS) / Admin</t>
  </si>
  <si>
    <t>Overhead</t>
  </si>
  <si>
    <t>Seguro RC / GL insurance</t>
  </si>
  <si>
    <t>Dispositivos (25) / Devices</t>
  </si>
  <si>
    <t>Diversos / Misc</t>
  </si>
  <si>
    <t>TOTAL CUSTOS FIXOS / TOTAL FIXED</t>
  </si>
  <si>
    <t>2. RECEITA POR ROTA / REVENUE PER ROUTE (2026)</t>
  </si>
  <si>
    <t>-</t>
  </si>
  <si>
    <t>€161.10</t>
  </si>
  <si>
    <t>PPR (86 x €0.08)</t>
  </si>
  <si>
    <t>Por peca</t>
  </si>
  <si>
    <t>Combustivel / Fuel</t>
  </si>
  <si>
    <t>70km</t>
  </si>
  <si>
    <t>Portagens / Tolls</t>
  </si>
  <si>
    <t>Est.</t>
  </si>
  <si>
    <t>TOTAL RECEITA/ROTA / REVENUE/ROUTE</t>
  </si>
  <si>
    <t>3. CUSTO VARIAVEL POR ROTA / VARIABLE COST PER ROUTE (2026)</t>
  </si>
  <si>
    <t>DA permanente/dia carregado / Loaded permanent DA per day</t>
  </si>
  <si>
    <t>14m+SS / 26d</t>
  </si>
  <si>
    <t>Subs. alimentacao/dia / Food subsidy</t>
  </si>
  <si>
    <t>€6/dia</t>
  </si>
  <si>
    <t>TOTAL CUSTO VAR./ROTA / VAR. COST/ROUTE</t>
  </si>
  <si>
    <t>4. RESULTADO / RESULT</t>
  </si>
  <si>
    <t>Metrica / Metric</t>
  </si>
  <si>
    <t>Valor</t>
  </si>
  <si>
    <t>Unidade</t>
  </si>
  <si>
    <t>Formula</t>
  </si>
  <si>
    <t>Margem contribuicao/rota / Contribution margin</t>
  </si>
  <si>
    <t>Receita - Custo var.</t>
  </si>
  <si>
    <t>Rotas break-even/mes / BE routes per month</t>
  </si>
  <si>
    <t>rotas/mes</t>
  </si>
  <si>
    <t>Fixos / Margem contrib.</t>
  </si>
  <si>
    <t>Rotas break-even/dia / BE routes per day</t>
  </si>
  <si>
    <t>Min. diario</t>
  </si>
  <si>
    <t>Margem seguranca (25 rotas/dia) / Safety margin</t>
  </si>
  <si>
    <t>Queda antes de perdas</t>
  </si>
  <si>
    <t xml:space="preserve">Atenção pode haver algum erro- a analisar </t>
  </si>
  <si>
    <t xml:space="preserve">Ver melhor </t>
  </si>
  <si>
    <t xml:space="preserve">Analisar melhor algumas assumptions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</si>
</sst>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€#,##0.00;&quot;(€&quot;#,##0.00\);\-"/>
    <numFmt numFmtId="165" formatCode="0.0%;\(0.0%\);\-"/>
    <numFmt numFmtId="166" formatCode="#,##0.0;\(#,##0.0\);\-"/>
    <numFmt numFmtId="167" formatCode="#,##0;\(#,##0\);\-"/>
    <numFmt numFmtId="168" formatCode="\€#,##0;&quot;(€&quot;#,##0\);\-"/>
  </numFmts>
  <fonts count="14" x14ac:knownFonts="1">
    <font>
      <sz val="11"/>
      <color theme="1"/>
      <name val="Calibri"/>
      <family val="2"/>
      <charset val="1"/>
    </font>
    <font>
      <b/>
      <sz val="20"/>
      <color rgb="FF000000"/>
      <name val="Arial"/>
      <family val="2"/>
    </font>
    <font>
      <i/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3"/>
      <color rgb="FF000000"/>
      <name val="Arial"/>
      <family val="2"/>
    </font>
    <font>
      <i/>
      <sz val="8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rgb="FF000000"/>
      <name val="Arial"/>
      <family val="2"/>
    </font>
    <font>
      <sz val="18"/>
      <color theme="1"/>
      <name val="Calibri"/>
      <family val="2"/>
    </font>
    <font>
      <sz val="18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 indent="1"/>
    </xf>
    <xf numFmtId="164" fontId="8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 indent="1"/>
    </xf>
    <xf numFmtId="167" fontId="5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right" vertical="center"/>
    </xf>
    <xf numFmtId="0" fontId="0" fillId="0" borderId="1" xfId="0" applyBorder="1"/>
    <xf numFmtId="168" fontId="5" fillId="0" borderId="1" xfId="0" applyNumberFormat="1" applyFont="1" applyBorder="1" applyAlignment="1">
      <alignment horizontal="right" vertical="center"/>
    </xf>
    <xf numFmtId="168" fontId="4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11" fillId="0" borderId="1" xfId="0" applyFont="1" applyBorder="1"/>
    <xf numFmtId="0" fontId="7" fillId="0" borderId="1" xfId="0" applyFont="1" applyBorder="1" applyAlignment="1">
      <alignment horizontal="left" vertical="center" wrapText="1" indent="1"/>
    </xf>
    <xf numFmtId="0" fontId="4" fillId="0" borderId="0" xfId="0" applyFont="1"/>
    <xf numFmtId="0" fontId="9" fillId="0" borderId="0" xfId="0" applyFont="1"/>
    <xf numFmtId="168" fontId="0" fillId="0" borderId="0" xfId="0" applyNumberFormat="1"/>
    <xf numFmtId="165" fontId="4" fillId="0" borderId="1" xfId="0" applyNumberFormat="1" applyFont="1" applyBorder="1" applyAlignment="1">
      <alignment horizontal="right" vertical="center"/>
    </xf>
    <xf numFmtId="0" fontId="10" fillId="0" borderId="0" xfId="0" applyFont="1"/>
    <xf numFmtId="0" fontId="3" fillId="0" borderId="1" xfId="0" applyFont="1" applyBorder="1"/>
    <xf numFmtId="164" fontId="5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 vertical="center" wrapText="1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center" vertical="center" wrapText="1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13" fillId="2" borderId="0" xfId="0" applyFont="1" applyFill="1"/>
    <xf numFmtId="0" fontId="6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 indent="1"/>
    </xf>
    <xf numFmtId="168" fontId="5" fillId="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168" fontId="4" fillId="2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9" fillId="2" borderId="1" xfId="0" applyFont="1" applyFill="1" applyBorder="1" applyAlignment="1">
      <alignment horizontal="center" vertical="center" wrapText="1"/>
    </xf>
    <xf numFmtId="167" fontId="4" fillId="2" borderId="1" xfId="0" applyNumberFormat="1" applyFont="1" applyFill="1" applyBorder="1" applyAlignment="1">
      <alignment horizontal="right" vertical="center"/>
    </xf>
    <xf numFmtId="166" fontId="4" fillId="2" borderId="1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 applyAlignment="1">
      <alignment horizontal="righ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Estrutura de Custos 2027 / Cost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583-7C4E-A70E-478A1291FD9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583-7C4E-A70E-478A1291FD9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583-7C4E-A70E-478A1291FD9F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583-7C4E-A70E-478A1291FD9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PT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583-7C4E-A70E-478A1291FD9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PT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83-7C4E-A70E-478A1291FD9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PT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583-7C4E-A70E-478A1291FD9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PT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583-7C4E-A70E-478A1291FD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Analise_Analysis!$I$4:$I$7</c:f>
              <c:strCache>
                <c:ptCount val="4"/>
                <c:pt idx="0">
                  <c:v>Mao-de-obra</c:v>
                </c:pt>
                <c:pt idx="1">
                  <c:v>Frota</c:v>
                </c:pt>
                <c:pt idx="2">
                  <c:v>Overheads</c:v>
                </c:pt>
                <c:pt idx="3">
                  <c:v>Instalacoes</c:v>
                </c:pt>
              </c:strCache>
            </c:strRef>
          </c:cat>
          <c:val>
            <c:numRef>
              <c:f>Analise_Analysis!$J$4:$J$7</c:f>
              <c:numCache>
                <c:formatCode>\€#\ ##0;"(€"#\ ##0\);\-</c:formatCode>
                <c:ptCount val="4"/>
                <c:pt idx="0">
                  <c:v>740999.64999999991</c:v>
                </c:pt>
                <c:pt idx="1">
                  <c:v>462880</c:v>
                </c:pt>
                <c:pt idx="2">
                  <c:v>14526</c:v>
                </c:pt>
                <c:pt idx="3">
                  <c:v>24720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583-7C4E-A70E-478A1291F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Receita vs Custos vs Resultado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Analise_Analysis!$J$10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Analise_Analysis!$I$11:$I$13</c:f>
              <c:strCache>
                <c:ptCount val="3"/>
                <c:pt idx="0">
                  <c:v>Receita</c:v>
                </c:pt>
                <c:pt idx="1">
                  <c:v>Custos</c:v>
                </c:pt>
                <c:pt idx="2">
                  <c:v>Resultado</c:v>
                </c:pt>
              </c:strCache>
            </c:strRef>
          </c:cat>
          <c:val>
            <c:numRef>
              <c:f>Analise_Analysis!$J$11:$J$13</c:f>
              <c:numCache>
                <c:formatCode>\€#\ ##0;"(€"#\ ##0\);\-</c:formatCode>
                <c:ptCount val="3"/>
                <c:pt idx="0">
                  <c:v>527961.99090909096</c:v>
                </c:pt>
                <c:pt idx="1">
                  <c:v>464907.34659090912</c:v>
                </c:pt>
                <c:pt idx="2">
                  <c:v>49482.773624999987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834F-AF9A-2E9B74A51971}"/>
            </c:ext>
          </c:extLst>
        </c:ser>
        <c:ser>
          <c:idx val="1"/>
          <c:order val="1"/>
          <c:tx>
            <c:strRef>
              <c:f>Analise_Analysis!$K$10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Analise_Analysis!$I$11:$I$13</c:f>
              <c:strCache>
                <c:ptCount val="3"/>
                <c:pt idx="0">
                  <c:v>Receita</c:v>
                </c:pt>
                <c:pt idx="1">
                  <c:v>Custos</c:v>
                </c:pt>
                <c:pt idx="2">
                  <c:v>Resultado</c:v>
                </c:pt>
              </c:strCache>
            </c:strRef>
          </c:cat>
          <c:val>
            <c:numRef>
              <c:f>Analise_Analysis!$K$11:$K$13</c:f>
              <c:numCache>
                <c:formatCode>\€#\ ##0;"(€"#\ ##0\);\-</c:formatCode>
                <c:ptCount val="3"/>
                <c:pt idx="0">
                  <c:v>1392389.4</c:v>
                </c:pt>
                <c:pt idx="1">
                  <c:v>1243125.6499999999</c:v>
                </c:pt>
                <c:pt idx="2">
                  <c:v>117918.36250000003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834F-AF9A-2E9B74A51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360418"/>
        <c:axId val="38295644"/>
      </c:barChart>
      <c:catAx>
        <c:axId val="563604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T"/>
          </a:p>
        </c:txPr>
        <c:crossAx val="38295644"/>
        <c:crosses val="autoZero"/>
        <c:auto val="1"/>
        <c:lblAlgn val="ctr"/>
        <c:lblOffset val="100"/>
        <c:noMultiLvlLbl val="0"/>
      </c:catAx>
      <c:valAx>
        <c:axId val="382956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€#,##0;&quot;(€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T"/>
          </a:p>
        </c:txPr>
        <c:crossAx val="563604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2</xdr:col>
      <xdr:colOff>998280</xdr:colOff>
      <xdr:row>35</xdr:row>
      <xdr:rowOff>42480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3</xdr:col>
      <xdr:colOff>301320</xdr:colOff>
      <xdr:row>50</xdr:row>
      <xdr:rowOff>42120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5"/>
  <sheetViews>
    <sheetView showGridLines="0" zoomScaleNormal="100" workbookViewId="0">
      <selection activeCell="C25" sqref="C25:E25"/>
    </sheetView>
  </sheetViews>
  <sheetFormatPr baseColWidth="10" defaultColWidth="8.6640625" defaultRowHeight="15" x14ac:dyDescent="0.2"/>
  <cols>
    <col min="1" max="1" width="3" customWidth="1"/>
    <col min="2" max="11" width="14" customWidth="1"/>
  </cols>
  <sheetData>
    <row r="2" spans="2:11" ht="30" customHeight="1" x14ac:dyDescent="0.2">
      <c r="B2" s="42" t="s">
        <v>0</v>
      </c>
      <c r="C2" s="42"/>
      <c r="D2" s="42"/>
      <c r="E2" s="42"/>
      <c r="F2" s="42"/>
      <c r="G2" s="42"/>
      <c r="H2" s="42"/>
      <c r="I2" s="42"/>
      <c r="J2" s="42"/>
      <c r="K2" s="42"/>
    </row>
    <row r="3" spans="2:11" ht="15" customHeight="1" x14ac:dyDescent="0.2">
      <c r="B3" s="42"/>
      <c r="C3" s="42"/>
      <c r="D3" s="42"/>
      <c r="E3" s="42"/>
      <c r="F3" s="42"/>
      <c r="G3" s="42"/>
      <c r="H3" s="42"/>
      <c r="I3" s="42"/>
      <c r="J3" s="42"/>
      <c r="K3" s="42"/>
    </row>
    <row r="4" spans="2:11" ht="15" customHeight="1" x14ac:dyDescent="0.2">
      <c r="B4" s="42"/>
      <c r="C4" s="42"/>
      <c r="D4" s="42"/>
      <c r="E4" s="42"/>
      <c r="F4" s="42"/>
      <c r="G4" s="42"/>
      <c r="H4" s="42"/>
      <c r="I4" s="42"/>
      <c r="J4" s="42"/>
      <c r="K4" s="42"/>
    </row>
    <row r="5" spans="2:11" ht="15" customHeight="1" x14ac:dyDescent="0.2">
      <c r="B5" s="43" t="s">
        <v>1</v>
      </c>
      <c r="C5" s="43"/>
      <c r="D5" s="43"/>
      <c r="E5" s="43"/>
      <c r="F5" s="43"/>
      <c r="G5" s="43"/>
      <c r="H5" s="43"/>
      <c r="I5" s="43"/>
      <c r="J5" s="43"/>
      <c r="K5" s="43"/>
    </row>
    <row r="7" spans="2:11" ht="15" customHeight="1" x14ac:dyDescent="0.2">
      <c r="B7" s="41" t="s">
        <v>2</v>
      </c>
      <c r="C7" s="41"/>
      <c r="D7" s="41"/>
      <c r="E7" s="41"/>
      <c r="F7" s="41"/>
      <c r="G7" s="41"/>
      <c r="H7" s="41"/>
      <c r="I7" s="41"/>
      <c r="J7" s="41"/>
      <c r="K7" s="41"/>
    </row>
    <row r="8" spans="2:11" ht="16.5" customHeight="1" x14ac:dyDescent="0.2">
      <c r="B8" s="39" t="s">
        <v>3</v>
      </c>
      <c r="C8" s="39"/>
      <c r="D8" s="39"/>
      <c r="E8" s="39"/>
      <c r="F8" s="40" t="s">
        <v>4</v>
      </c>
      <c r="G8" s="40"/>
      <c r="H8" s="40"/>
      <c r="I8" s="40"/>
      <c r="J8" s="40"/>
      <c r="K8" s="40"/>
    </row>
    <row r="9" spans="2:11" ht="16.5" customHeight="1" x14ac:dyDescent="0.2">
      <c r="B9" s="39" t="s">
        <v>5</v>
      </c>
      <c r="C9" s="39"/>
      <c r="D9" s="39"/>
      <c r="E9" s="39"/>
      <c r="F9" s="40" t="s">
        <v>6</v>
      </c>
      <c r="G9" s="40"/>
      <c r="H9" s="40"/>
      <c r="I9" s="40"/>
      <c r="J9" s="40"/>
      <c r="K9" s="40"/>
    </row>
    <row r="10" spans="2:11" ht="16.5" customHeight="1" x14ac:dyDescent="0.2">
      <c r="B10" s="39" t="s">
        <v>7</v>
      </c>
      <c r="C10" s="39"/>
      <c r="D10" s="39"/>
      <c r="E10" s="39"/>
      <c r="F10" s="40" t="s">
        <v>8</v>
      </c>
      <c r="G10" s="40"/>
      <c r="H10" s="40"/>
      <c r="I10" s="40"/>
      <c r="J10" s="40"/>
      <c r="K10" s="40"/>
    </row>
    <row r="11" spans="2:11" ht="16.5" customHeight="1" x14ac:dyDescent="0.2">
      <c r="B11" s="39" t="s">
        <v>9</v>
      </c>
      <c r="C11" s="39"/>
      <c r="D11" s="39"/>
      <c r="E11" s="39"/>
      <c r="F11" s="40" t="s">
        <v>10</v>
      </c>
      <c r="G11" s="40"/>
      <c r="H11" s="40"/>
      <c r="I11" s="40"/>
      <c r="J11" s="40"/>
      <c r="K11" s="40"/>
    </row>
    <row r="12" spans="2:11" ht="16.5" customHeight="1" x14ac:dyDescent="0.2">
      <c r="B12" s="39" t="s">
        <v>11</v>
      </c>
      <c r="C12" s="39"/>
      <c r="D12" s="39"/>
      <c r="E12" s="39"/>
      <c r="F12" s="40" t="s">
        <v>12</v>
      </c>
      <c r="G12" s="40"/>
      <c r="H12" s="40"/>
      <c r="I12" s="40"/>
      <c r="J12" s="40"/>
      <c r="K12" s="40"/>
    </row>
    <row r="13" spans="2:11" ht="16.5" customHeight="1" x14ac:dyDescent="0.2">
      <c r="B13" s="39" t="s">
        <v>13</v>
      </c>
      <c r="C13" s="39"/>
      <c r="D13" s="39"/>
      <c r="E13" s="39"/>
      <c r="F13" s="40" t="s">
        <v>14</v>
      </c>
      <c r="G13" s="40"/>
      <c r="H13" s="40"/>
      <c r="I13" s="40"/>
      <c r="J13" s="40"/>
      <c r="K13" s="40"/>
    </row>
    <row r="14" spans="2:11" ht="16.5" customHeight="1" x14ac:dyDescent="0.2">
      <c r="B14" s="39" t="s">
        <v>15</v>
      </c>
      <c r="C14" s="39"/>
      <c r="D14" s="39"/>
      <c r="E14" s="39"/>
      <c r="F14" s="40" t="s">
        <v>16</v>
      </c>
      <c r="G14" s="40"/>
      <c r="H14" s="40"/>
      <c r="I14" s="40"/>
      <c r="J14" s="40"/>
      <c r="K14" s="40"/>
    </row>
    <row r="15" spans="2:11" ht="16.5" customHeight="1" x14ac:dyDescent="0.2">
      <c r="B15" s="39" t="s">
        <v>17</v>
      </c>
      <c r="C15" s="39"/>
      <c r="D15" s="39"/>
      <c r="E15" s="39"/>
      <c r="F15" s="40" t="s">
        <v>18</v>
      </c>
      <c r="G15" s="40"/>
      <c r="H15" s="40"/>
      <c r="I15" s="40"/>
      <c r="J15" s="40"/>
      <c r="K15" s="40"/>
    </row>
    <row r="16" spans="2:11" ht="15" customHeight="1" x14ac:dyDescent="0.2">
      <c r="B16" s="41" t="s">
        <v>19</v>
      </c>
      <c r="C16" s="41"/>
      <c r="D16" s="41"/>
      <c r="E16" s="41"/>
      <c r="F16" s="41"/>
      <c r="G16" s="41"/>
      <c r="H16" s="41"/>
      <c r="I16" s="41"/>
      <c r="J16" s="41"/>
      <c r="K16" s="41"/>
    </row>
    <row r="17" spans="2:11" ht="15.75" customHeight="1" x14ac:dyDescent="0.2">
      <c r="B17" s="1" t="s">
        <v>20</v>
      </c>
      <c r="C17" s="39" t="s">
        <v>5</v>
      </c>
      <c r="D17" s="39"/>
      <c r="E17" s="39"/>
      <c r="F17" s="40" t="s">
        <v>21</v>
      </c>
      <c r="G17" s="40"/>
      <c r="H17" s="40"/>
      <c r="I17" s="40"/>
      <c r="J17" s="40"/>
      <c r="K17" s="40"/>
    </row>
    <row r="18" spans="2:11" ht="15.75" customHeight="1" x14ac:dyDescent="0.2">
      <c r="B18" s="1" t="s">
        <v>22</v>
      </c>
      <c r="C18" s="39" t="s">
        <v>23</v>
      </c>
      <c r="D18" s="39"/>
      <c r="E18" s="39"/>
      <c r="F18" s="40" t="s">
        <v>24</v>
      </c>
      <c r="G18" s="40"/>
      <c r="H18" s="40"/>
      <c r="I18" s="40"/>
      <c r="J18" s="40"/>
      <c r="K18" s="40"/>
    </row>
    <row r="19" spans="2:11" ht="15.75" customHeight="1" x14ac:dyDescent="0.2">
      <c r="B19" s="1" t="s">
        <v>25</v>
      </c>
      <c r="C19" s="39" t="s">
        <v>26</v>
      </c>
      <c r="D19" s="39"/>
      <c r="E19" s="39"/>
      <c r="F19" s="40" t="s">
        <v>27</v>
      </c>
      <c r="G19" s="40"/>
      <c r="H19" s="40"/>
      <c r="I19" s="40"/>
      <c r="J19" s="40"/>
      <c r="K19" s="40"/>
    </row>
    <row r="20" spans="2:11" ht="15.75" customHeight="1" x14ac:dyDescent="0.2">
      <c r="B20" s="1" t="s">
        <v>28</v>
      </c>
      <c r="C20" s="39" t="s">
        <v>29</v>
      </c>
      <c r="D20" s="39"/>
      <c r="E20" s="39"/>
      <c r="F20" s="40" t="s">
        <v>30</v>
      </c>
      <c r="G20" s="40"/>
      <c r="H20" s="40"/>
      <c r="I20" s="40"/>
      <c r="J20" s="40"/>
      <c r="K20" s="40"/>
    </row>
    <row r="21" spans="2:11" ht="15.75" customHeight="1" x14ac:dyDescent="0.2">
      <c r="B21" s="1" t="s">
        <v>31</v>
      </c>
      <c r="C21" s="39" t="s">
        <v>32</v>
      </c>
      <c r="D21" s="39"/>
      <c r="E21" s="39"/>
      <c r="F21" s="40" t="s">
        <v>33</v>
      </c>
      <c r="G21" s="40"/>
      <c r="H21" s="40"/>
      <c r="I21" s="40"/>
      <c r="J21" s="40"/>
      <c r="K21" s="40"/>
    </row>
    <row r="22" spans="2:11" ht="15.75" customHeight="1" x14ac:dyDescent="0.2">
      <c r="B22" s="1" t="s">
        <v>34</v>
      </c>
      <c r="C22" s="39" t="s">
        <v>35</v>
      </c>
      <c r="D22" s="39"/>
      <c r="E22" s="39"/>
      <c r="F22" s="40" t="s">
        <v>36</v>
      </c>
      <c r="G22" s="40"/>
      <c r="H22" s="40"/>
      <c r="I22" s="40"/>
      <c r="J22" s="40"/>
      <c r="K22" s="40"/>
    </row>
    <row r="23" spans="2:11" ht="15.75" customHeight="1" x14ac:dyDescent="0.2">
      <c r="B23" s="1" t="s">
        <v>37</v>
      </c>
      <c r="C23" s="39" t="s">
        <v>38</v>
      </c>
      <c r="D23" s="39"/>
      <c r="E23" s="39"/>
      <c r="F23" s="40" t="s">
        <v>39</v>
      </c>
      <c r="G23" s="40"/>
      <c r="H23" s="40"/>
      <c r="I23" s="40"/>
      <c r="J23" s="40"/>
      <c r="K23" s="40"/>
    </row>
    <row r="24" spans="2:11" ht="15.75" customHeight="1" x14ac:dyDescent="0.2">
      <c r="B24" s="1" t="s">
        <v>40</v>
      </c>
      <c r="C24" s="39" t="s">
        <v>41</v>
      </c>
      <c r="D24" s="39"/>
      <c r="E24" s="39"/>
      <c r="F24" s="40" t="s">
        <v>42</v>
      </c>
      <c r="G24" s="40"/>
      <c r="H24" s="40"/>
      <c r="I24" s="40"/>
      <c r="J24" s="40"/>
      <c r="K24" s="40"/>
    </row>
    <row r="25" spans="2:11" ht="15.75" customHeight="1" x14ac:dyDescent="0.2">
      <c r="B25" s="1" t="s">
        <v>43</v>
      </c>
      <c r="C25" s="39" t="s">
        <v>44</v>
      </c>
      <c r="D25" s="39"/>
      <c r="E25" s="39"/>
      <c r="F25" s="40" t="s">
        <v>45</v>
      </c>
      <c r="G25" s="40"/>
      <c r="H25" s="40"/>
      <c r="I25" s="40"/>
      <c r="J25" s="40"/>
      <c r="K25" s="40"/>
    </row>
  </sheetData>
  <mergeCells count="38">
    <mergeCell ref="B2:K4"/>
    <mergeCell ref="B5:K5"/>
    <mergeCell ref="B7:K7"/>
    <mergeCell ref="B8:E8"/>
    <mergeCell ref="F8:K8"/>
    <mergeCell ref="B9:E9"/>
    <mergeCell ref="F9:K9"/>
    <mergeCell ref="B10:E10"/>
    <mergeCell ref="F10:K10"/>
    <mergeCell ref="B11:E11"/>
    <mergeCell ref="F11:K11"/>
    <mergeCell ref="B12:E12"/>
    <mergeCell ref="F12:K12"/>
    <mergeCell ref="B13:E13"/>
    <mergeCell ref="F13:K13"/>
    <mergeCell ref="B14:E14"/>
    <mergeCell ref="F14:K14"/>
    <mergeCell ref="B15:E15"/>
    <mergeCell ref="F15:K15"/>
    <mergeCell ref="B16:K16"/>
    <mergeCell ref="C17:E17"/>
    <mergeCell ref="F17:K17"/>
    <mergeCell ref="C18:E18"/>
    <mergeCell ref="F18:K18"/>
    <mergeCell ref="C19:E19"/>
    <mergeCell ref="F19:K19"/>
    <mergeCell ref="C20:E20"/>
    <mergeCell ref="F20:K20"/>
    <mergeCell ref="C24:E24"/>
    <mergeCell ref="F24:K24"/>
    <mergeCell ref="C25:E25"/>
    <mergeCell ref="F25:K25"/>
    <mergeCell ref="C21:E21"/>
    <mergeCell ref="F21:K21"/>
    <mergeCell ref="C22:E22"/>
    <mergeCell ref="F22:K22"/>
    <mergeCell ref="C23:E23"/>
    <mergeCell ref="F23:K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99"/>
  <sheetViews>
    <sheetView showGridLines="0" tabSelected="1" zoomScale="90" zoomScaleNormal="100" workbookViewId="0">
      <selection activeCell="J8" sqref="J8"/>
    </sheetView>
  </sheetViews>
  <sheetFormatPr baseColWidth="10" defaultColWidth="8.6640625" defaultRowHeight="15" x14ac:dyDescent="0.2"/>
  <cols>
    <col min="1" max="1" width="2.5" customWidth="1"/>
    <col min="2" max="2" width="46" customWidth="1"/>
    <col min="3" max="5" width="9.5" customWidth="1"/>
    <col min="6" max="6" width="31.83203125" customWidth="1"/>
    <col min="7" max="18" width="9.5" customWidth="1"/>
  </cols>
  <sheetData>
    <row r="1" spans="2:6" ht="24" customHeight="1" x14ac:dyDescent="0.2">
      <c r="B1" s="45" t="s">
        <v>46</v>
      </c>
      <c r="C1" s="45"/>
      <c r="D1" s="45"/>
      <c r="E1" s="45"/>
      <c r="F1" s="45"/>
    </row>
    <row r="2" spans="2:6" ht="15" customHeight="1" x14ac:dyDescent="0.2">
      <c r="B2" s="46" t="s">
        <v>47</v>
      </c>
      <c r="C2" s="46"/>
      <c r="D2" s="46"/>
      <c r="E2" s="46"/>
      <c r="F2" s="46"/>
    </row>
    <row r="4" spans="2:6" ht="19.5" customHeight="1" x14ac:dyDescent="0.2">
      <c r="B4" s="44" t="s">
        <v>48</v>
      </c>
      <c r="C4" s="44"/>
      <c r="D4" s="44"/>
      <c r="E4" s="44"/>
      <c r="F4" s="44"/>
    </row>
    <row r="5" spans="2:6" ht="21.75" customHeight="1" x14ac:dyDescent="0.2">
      <c r="B5" s="1" t="s">
        <v>49</v>
      </c>
      <c r="C5" s="1" t="s">
        <v>50</v>
      </c>
      <c r="D5" s="1" t="s">
        <v>51</v>
      </c>
      <c r="E5" s="1" t="s">
        <v>52</v>
      </c>
      <c r="F5" s="1" t="s">
        <v>53</v>
      </c>
    </row>
    <row r="6" spans="2:6" ht="15.75" customHeight="1" x14ac:dyDescent="0.2">
      <c r="B6" s="2" t="s">
        <v>54</v>
      </c>
      <c r="C6" s="4">
        <v>17.899999999999999</v>
      </c>
      <c r="D6" s="4">
        <v>17.899999999999999</v>
      </c>
      <c r="E6" s="5" t="s">
        <v>55</v>
      </c>
      <c r="F6" s="6" t="s">
        <v>56</v>
      </c>
    </row>
    <row r="7" spans="2:6" ht="15.75" customHeight="1" x14ac:dyDescent="0.2">
      <c r="B7" s="2" t="s">
        <v>57</v>
      </c>
      <c r="C7" s="4">
        <v>9</v>
      </c>
      <c r="D7" s="4">
        <v>9</v>
      </c>
      <c r="E7" s="5" t="s">
        <v>58</v>
      </c>
      <c r="F7" s="6" t="s">
        <v>59</v>
      </c>
    </row>
    <row r="8" spans="2:6" ht="15.75" customHeight="1" x14ac:dyDescent="0.2">
      <c r="B8" s="2" t="s">
        <v>60</v>
      </c>
      <c r="C8" s="7">
        <f>C6*C7</f>
        <v>161.1</v>
      </c>
      <c r="D8" s="7">
        <f>D6*D7</f>
        <v>161.1</v>
      </c>
      <c r="E8" s="5" t="s">
        <v>61</v>
      </c>
      <c r="F8" s="6" t="s">
        <v>62</v>
      </c>
    </row>
    <row r="9" spans="2:6" ht="15.75" customHeight="1" x14ac:dyDescent="0.2">
      <c r="B9" s="2" t="s">
        <v>63</v>
      </c>
      <c r="C9" s="4">
        <v>0.04</v>
      </c>
      <c r="D9" s="4">
        <v>0.04</v>
      </c>
      <c r="E9" s="5" t="s">
        <v>64</v>
      </c>
      <c r="F9" s="6" t="s">
        <v>59</v>
      </c>
    </row>
    <row r="10" spans="2:6" ht="15.75" customHeight="1" x14ac:dyDescent="0.2">
      <c r="B10" s="2" t="s">
        <v>65</v>
      </c>
      <c r="C10" s="4">
        <v>0.04</v>
      </c>
      <c r="D10" s="4">
        <v>0</v>
      </c>
      <c r="E10" s="5" t="s">
        <v>64</v>
      </c>
      <c r="F10" s="6" t="s">
        <v>66</v>
      </c>
    </row>
    <row r="11" spans="2:6" ht="15.75" customHeight="1" x14ac:dyDescent="0.2">
      <c r="B11" s="2" t="s">
        <v>67</v>
      </c>
      <c r="C11" s="7">
        <f>C9+C10</f>
        <v>0.08</v>
      </c>
      <c r="D11" s="7">
        <f>D9+D10</f>
        <v>0.04</v>
      </c>
      <c r="E11" s="5" t="s">
        <v>64</v>
      </c>
      <c r="F11" s="6" t="s">
        <v>68</v>
      </c>
    </row>
    <row r="12" spans="2:6" ht="15.75" customHeight="1" x14ac:dyDescent="0.2">
      <c r="B12" s="2" t="s">
        <v>69</v>
      </c>
      <c r="C12" s="4">
        <v>86</v>
      </c>
      <c r="D12" s="4">
        <v>86</v>
      </c>
      <c r="E12" s="5" t="s">
        <v>70</v>
      </c>
      <c r="F12" s="6" t="s">
        <v>59</v>
      </c>
    </row>
    <row r="13" spans="2:6" ht="15.75" customHeight="1" x14ac:dyDescent="0.2">
      <c r="B13" s="2" t="s">
        <v>71</v>
      </c>
      <c r="C13" s="4">
        <v>70</v>
      </c>
      <c r="D13" s="4">
        <v>70</v>
      </c>
      <c r="E13" s="5" t="s">
        <v>72</v>
      </c>
      <c r="F13" s="6" t="s">
        <v>59</v>
      </c>
    </row>
    <row r="14" spans="2:6" ht="15.75" customHeight="1" x14ac:dyDescent="0.2">
      <c r="B14" s="2" t="s">
        <v>73</v>
      </c>
      <c r="C14" s="4">
        <v>1.65</v>
      </c>
      <c r="D14" s="4">
        <v>1.7</v>
      </c>
      <c r="E14" s="5" t="s">
        <v>74</v>
      </c>
      <c r="F14" s="6" t="s">
        <v>75</v>
      </c>
    </row>
    <row r="15" spans="2:6" ht="15.75" customHeight="1" x14ac:dyDescent="0.2">
      <c r="B15" s="2" t="s">
        <v>76</v>
      </c>
      <c r="C15" s="4">
        <v>10</v>
      </c>
      <c r="D15" s="4">
        <v>10</v>
      </c>
      <c r="E15" s="5" t="s">
        <v>77</v>
      </c>
      <c r="F15" s="6" t="s">
        <v>78</v>
      </c>
    </row>
    <row r="16" spans="2:6" ht="15.75" customHeight="1" x14ac:dyDescent="0.2">
      <c r="B16" s="2" t="s">
        <v>79</v>
      </c>
      <c r="C16" s="7">
        <f>C13*(C14/100)*C15</f>
        <v>11.55</v>
      </c>
      <c r="D16" s="7">
        <f>D13*(D14/100)*D15</f>
        <v>11.900000000000002</v>
      </c>
      <c r="E16" s="5" t="s">
        <v>61</v>
      </c>
      <c r="F16" s="6" t="s">
        <v>68</v>
      </c>
    </row>
    <row r="17" spans="2:12" ht="15.75" customHeight="1" x14ac:dyDescent="0.2">
      <c r="B17" s="2" t="s">
        <v>80</v>
      </c>
      <c r="C17" s="4">
        <v>3.5</v>
      </c>
      <c r="D17" s="4">
        <v>3.5</v>
      </c>
      <c r="E17" s="5" t="s">
        <v>61</v>
      </c>
      <c r="F17" s="6" t="s">
        <v>81</v>
      </c>
    </row>
    <row r="18" spans="2:12" ht="15.75" customHeight="1" x14ac:dyDescent="0.2">
      <c r="B18" s="2" t="s">
        <v>82</v>
      </c>
      <c r="C18" s="4">
        <v>500</v>
      </c>
      <c r="D18" s="4">
        <v>500</v>
      </c>
      <c r="E18" s="5" t="s">
        <v>83</v>
      </c>
      <c r="F18" s="6" t="s">
        <v>84</v>
      </c>
    </row>
    <row r="20" spans="2:12" ht="19.5" customHeight="1" x14ac:dyDescent="0.2">
      <c r="B20" s="44" t="s">
        <v>85</v>
      </c>
      <c r="C20" s="44"/>
      <c r="D20" s="44"/>
      <c r="E20" s="44"/>
      <c r="F20" s="44"/>
    </row>
    <row r="21" spans="2:12" ht="21.75" customHeight="1" x14ac:dyDescent="0.2">
      <c r="B21" s="1" t="s">
        <v>49</v>
      </c>
      <c r="C21" s="1" t="s">
        <v>50</v>
      </c>
      <c r="D21" s="1" t="s">
        <v>51</v>
      </c>
      <c r="E21" s="1" t="s">
        <v>52</v>
      </c>
      <c r="F21" s="1" t="s">
        <v>53</v>
      </c>
    </row>
    <row r="22" spans="2:12" ht="15.75" customHeight="1" x14ac:dyDescent="0.2">
      <c r="B22" s="2" t="s">
        <v>86</v>
      </c>
      <c r="C22" s="4">
        <v>5</v>
      </c>
      <c r="D22" s="4">
        <v>5</v>
      </c>
      <c r="E22" s="5" t="s">
        <v>87</v>
      </c>
      <c r="F22" s="6" t="s">
        <v>59</v>
      </c>
    </row>
    <row r="23" spans="2:12" ht="15.75" customHeight="1" x14ac:dyDescent="0.2">
      <c r="B23" s="2" t="s">
        <v>88</v>
      </c>
      <c r="C23" s="4">
        <v>25</v>
      </c>
      <c r="D23" s="4">
        <v>25</v>
      </c>
      <c r="E23" s="5" t="s">
        <v>87</v>
      </c>
      <c r="F23" s="6" t="s">
        <v>89</v>
      </c>
      <c r="J23" s="53" t="s">
        <v>499</v>
      </c>
      <c r="K23" s="53"/>
      <c r="L23" s="53"/>
    </row>
    <row r="24" spans="2:12" ht="15.75" customHeight="1" x14ac:dyDescent="0.2">
      <c r="B24" s="2" t="s">
        <v>90</v>
      </c>
      <c r="C24" s="4">
        <v>50</v>
      </c>
      <c r="D24" s="4">
        <v>50</v>
      </c>
      <c r="E24" s="5" t="s">
        <v>87</v>
      </c>
      <c r="F24" s="6" t="s">
        <v>59</v>
      </c>
    </row>
    <row r="25" spans="2:12" ht="15.75" customHeight="1" x14ac:dyDescent="0.2">
      <c r="B25" s="2" t="s">
        <v>91</v>
      </c>
      <c r="C25" s="4">
        <v>5</v>
      </c>
      <c r="D25" s="4">
        <v>5</v>
      </c>
      <c r="E25" s="5" t="s">
        <v>92</v>
      </c>
      <c r="F25" s="6" t="s">
        <v>93</v>
      </c>
    </row>
    <row r="26" spans="2:12" ht="15.75" customHeight="1" x14ac:dyDescent="0.2">
      <c r="B26" s="2" t="s">
        <v>94</v>
      </c>
      <c r="C26" s="4">
        <v>22</v>
      </c>
      <c r="D26" s="4">
        <v>22</v>
      </c>
      <c r="E26" s="5" t="s">
        <v>92</v>
      </c>
      <c r="F26" s="6" t="s">
        <v>95</v>
      </c>
    </row>
    <row r="28" spans="2:12" ht="19.5" customHeight="1" x14ac:dyDescent="0.2">
      <c r="B28" s="44" t="s">
        <v>96</v>
      </c>
      <c r="C28" s="44"/>
      <c r="D28" s="44"/>
      <c r="E28" s="44"/>
      <c r="F28" s="44"/>
    </row>
    <row r="29" spans="2:12" ht="21.75" customHeight="1" x14ac:dyDescent="0.2">
      <c r="B29" s="1" t="s">
        <v>49</v>
      </c>
      <c r="C29" s="1" t="s">
        <v>50</v>
      </c>
      <c r="D29" s="1" t="s">
        <v>51</v>
      </c>
      <c r="E29" s="1" t="s">
        <v>52</v>
      </c>
      <c r="F29" s="1" t="s">
        <v>53</v>
      </c>
    </row>
    <row r="30" spans="2:12" ht="15.75" customHeight="1" x14ac:dyDescent="0.2">
      <c r="B30" s="2" t="s">
        <v>97</v>
      </c>
      <c r="C30" s="4">
        <v>25</v>
      </c>
      <c r="D30" s="4">
        <v>25</v>
      </c>
      <c r="E30" s="5" t="s">
        <v>98</v>
      </c>
      <c r="F30" s="6" t="s">
        <v>99</v>
      </c>
    </row>
    <row r="31" spans="2:12" ht="30" customHeight="1" x14ac:dyDescent="0.2">
      <c r="B31" s="2" t="s">
        <v>100</v>
      </c>
      <c r="C31" s="8">
        <v>0.15</v>
      </c>
      <c r="D31" s="8">
        <v>0.15</v>
      </c>
      <c r="E31" s="5" t="s">
        <v>101</v>
      </c>
      <c r="F31" s="6" t="s">
        <v>102</v>
      </c>
    </row>
    <row r="32" spans="2:12" ht="15.75" customHeight="1" x14ac:dyDescent="0.2">
      <c r="B32" s="2" t="s">
        <v>103</v>
      </c>
      <c r="C32" s="4">
        <v>800</v>
      </c>
      <c r="D32" s="4">
        <v>800</v>
      </c>
      <c r="E32" s="5" t="s">
        <v>104</v>
      </c>
      <c r="F32" s="6" t="s">
        <v>105</v>
      </c>
    </row>
    <row r="33" spans="2:6" ht="15.75" customHeight="1" x14ac:dyDescent="0.2">
      <c r="B33" s="2" t="s">
        <v>106</v>
      </c>
      <c r="C33" s="4">
        <v>120</v>
      </c>
      <c r="D33" s="4">
        <v>125</v>
      </c>
      <c r="E33" s="5" t="s">
        <v>104</v>
      </c>
      <c r="F33" s="6" t="s">
        <v>107</v>
      </c>
    </row>
    <row r="34" spans="2:6" ht="15.75" customHeight="1" x14ac:dyDescent="0.2">
      <c r="B34" s="2" t="s">
        <v>108</v>
      </c>
      <c r="C34" s="4">
        <v>150</v>
      </c>
      <c r="D34" s="4">
        <v>160</v>
      </c>
      <c r="E34" s="5" t="s">
        <v>104</v>
      </c>
      <c r="F34" s="6" t="s">
        <v>109</v>
      </c>
    </row>
    <row r="35" spans="2:6" ht="15.75" customHeight="1" x14ac:dyDescent="0.2">
      <c r="B35" s="2" t="s">
        <v>110</v>
      </c>
      <c r="C35" s="4">
        <v>1400</v>
      </c>
      <c r="D35" s="4">
        <v>1450</v>
      </c>
      <c r="E35" s="5" t="s">
        <v>104</v>
      </c>
      <c r="F35" s="6" t="s">
        <v>111</v>
      </c>
    </row>
    <row r="36" spans="2:6" ht="15.75" customHeight="1" x14ac:dyDescent="0.2">
      <c r="B36" s="2" t="s">
        <v>112</v>
      </c>
      <c r="C36" s="4">
        <v>100</v>
      </c>
      <c r="D36" s="4">
        <v>100</v>
      </c>
      <c r="E36" s="5" t="s">
        <v>83</v>
      </c>
      <c r="F36" s="6" t="s">
        <v>113</v>
      </c>
    </row>
    <row r="38" spans="2:6" ht="19.5" customHeight="1" x14ac:dyDescent="0.2">
      <c r="B38" s="44" t="s">
        <v>114</v>
      </c>
      <c r="C38" s="44"/>
      <c r="D38" s="44"/>
      <c r="E38" s="44"/>
      <c r="F38" s="44"/>
    </row>
    <row r="39" spans="2:6" ht="21.75" customHeight="1" x14ac:dyDescent="0.2">
      <c r="B39" s="1" t="s">
        <v>49</v>
      </c>
      <c r="C39" s="1" t="s">
        <v>50</v>
      </c>
      <c r="D39" s="1" t="s">
        <v>51</v>
      </c>
      <c r="E39" s="1" t="s">
        <v>52</v>
      </c>
      <c r="F39" s="1" t="s">
        <v>53</v>
      </c>
    </row>
    <row r="40" spans="2:6" ht="26" customHeight="1" x14ac:dyDescent="0.2">
      <c r="B40" s="2" t="s">
        <v>115</v>
      </c>
      <c r="C40" s="4">
        <v>6.2</v>
      </c>
      <c r="D40" s="4">
        <v>6.2</v>
      </c>
      <c r="E40" s="5" t="s">
        <v>55</v>
      </c>
      <c r="F40" s="6" t="s">
        <v>116</v>
      </c>
    </row>
    <row r="41" spans="2:6" ht="18" customHeight="1" x14ac:dyDescent="0.2">
      <c r="B41" s="2" t="s">
        <v>117</v>
      </c>
      <c r="C41" s="7">
        <f>C40*2080/12</f>
        <v>1074.6666666666667</v>
      </c>
      <c r="D41" s="7">
        <f>D40*2080/12</f>
        <v>1074.6666666666667</v>
      </c>
      <c r="E41" s="5" t="s">
        <v>83</v>
      </c>
      <c r="F41" s="6" t="s">
        <v>118</v>
      </c>
    </row>
    <row r="42" spans="2:6" ht="15.75" customHeight="1" x14ac:dyDescent="0.2">
      <c r="B42" s="2" t="s">
        <v>119</v>
      </c>
      <c r="C42" s="8">
        <v>0.23749999999999999</v>
      </c>
      <c r="D42" s="8">
        <v>0.23749999999999999</v>
      </c>
      <c r="E42" s="5" t="s">
        <v>101</v>
      </c>
      <c r="F42" s="6" t="s">
        <v>120</v>
      </c>
    </row>
    <row r="43" spans="2:6" ht="15.75" customHeight="1" x14ac:dyDescent="0.2">
      <c r="B43" s="2" t="s">
        <v>121</v>
      </c>
      <c r="C43" s="7">
        <f>C41*(1+C42)</f>
        <v>1329.9</v>
      </c>
      <c r="D43" s="7">
        <f>D41*(1+D42)</f>
        <v>1329.9</v>
      </c>
      <c r="E43" s="5" t="s">
        <v>83</v>
      </c>
      <c r="F43" s="6" t="s">
        <v>68</v>
      </c>
    </row>
    <row r="44" spans="2:6" ht="15.75" customHeight="1" x14ac:dyDescent="0.2">
      <c r="B44" s="2" t="s">
        <v>122</v>
      </c>
      <c r="C44" s="4">
        <v>11.5</v>
      </c>
      <c r="D44" s="4">
        <v>11.85</v>
      </c>
      <c r="E44" s="5" t="s">
        <v>55</v>
      </c>
      <c r="F44" s="6" t="s">
        <v>123</v>
      </c>
    </row>
    <row r="45" spans="2:6" ht="15.75" customHeight="1" x14ac:dyDescent="0.2">
      <c r="B45" s="2" t="s">
        <v>124</v>
      </c>
      <c r="C45" s="7">
        <f>C44*2080/12</f>
        <v>1993.3333333333333</v>
      </c>
      <c r="D45" s="7">
        <f>D44*2080/12</f>
        <v>2054</v>
      </c>
      <c r="E45" s="5" t="s">
        <v>83</v>
      </c>
      <c r="F45" s="6" t="s">
        <v>125</v>
      </c>
    </row>
    <row r="46" spans="2:6" ht="15.75" customHeight="1" x14ac:dyDescent="0.2">
      <c r="B46" s="2" t="s">
        <v>126</v>
      </c>
      <c r="C46" s="7">
        <f>C45*(1+C42)</f>
        <v>2466.75</v>
      </c>
      <c r="D46" s="7">
        <f>D45*(1+D42)</f>
        <v>2541.8250000000003</v>
      </c>
      <c r="E46" s="5" t="s">
        <v>83</v>
      </c>
      <c r="F46" s="6" t="s">
        <v>68</v>
      </c>
    </row>
    <row r="47" spans="2:6" ht="24" customHeight="1" x14ac:dyDescent="0.2">
      <c r="B47" s="2" t="s">
        <v>127</v>
      </c>
      <c r="C47" s="8">
        <v>0.15</v>
      </c>
      <c r="D47" s="8">
        <v>0.15</v>
      </c>
      <c r="E47" s="5" t="s">
        <v>101</v>
      </c>
      <c r="F47" s="6" t="s">
        <v>128</v>
      </c>
    </row>
    <row r="48" spans="2:6" ht="15.75" customHeight="1" x14ac:dyDescent="0.2">
      <c r="B48" s="2" t="s">
        <v>129</v>
      </c>
      <c r="C48" s="4">
        <v>150</v>
      </c>
      <c r="D48" s="4">
        <v>150</v>
      </c>
      <c r="E48" s="5" t="s">
        <v>130</v>
      </c>
      <c r="F48" s="6" t="s">
        <v>131</v>
      </c>
    </row>
    <row r="49" spans="2:6" ht="21" customHeight="1" x14ac:dyDescent="0.2">
      <c r="B49" s="2" t="s">
        <v>132</v>
      </c>
      <c r="C49" s="8">
        <v>0.15</v>
      </c>
      <c r="D49" s="8">
        <v>0.15</v>
      </c>
      <c r="E49" s="5" t="s">
        <v>101</v>
      </c>
      <c r="F49" s="6" t="s">
        <v>133</v>
      </c>
    </row>
    <row r="50" spans="2:6" ht="20" customHeight="1" x14ac:dyDescent="0.2">
      <c r="B50" s="2" t="s">
        <v>134</v>
      </c>
      <c r="C50" s="9">
        <v>0</v>
      </c>
      <c r="D50" s="9">
        <v>0</v>
      </c>
      <c r="E50" s="5" t="s">
        <v>135</v>
      </c>
      <c r="F50" s="6" t="s">
        <v>136</v>
      </c>
    </row>
    <row r="52" spans="2:6" ht="19.5" customHeight="1" x14ac:dyDescent="0.2">
      <c r="B52" s="44" t="s">
        <v>137</v>
      </c>
      <c r="C52" s="44"/>
      <c r="D52" s="44"/>
      <c r="E52" s="44"/>
      <c r="F52" s="44"/>
    </row>
    <row r="53" spans="2:6" ht="21.75" customHeight="1" x14ac:dyDescent="0.2">
      <c r="B53" s="1" t="s">
        <v>49</v>
      </c>
      <c r="C53" s="1" t="s">
        <v>50</v>
      </c>
      <c r="D53" s="1" t="s">
        <v>51</v>
      </c>
      <c r="E53" s="1" t="s">
        <v>52</v>
      </c>
      <c r="F53" s="1" t="s">
        <v>53</v>
      </c>
    </row>
    <row r="54" spans="2:6" ht="15.75" customHeight="1" x14ac:dyDescent="0.2">
      <c r="B54" s="2" t="s">
        <v>138</v>
      </c>
      <c r="C54" s="10">
        <f>14/12</f>
        <v>1.1666666666666667</v>
      </c>
      <c r="D54" s="10">
        <f>14/12</f>
        <v>1.1666666666666667</v>
      </c>
      <c r="E54" s="5" t="s">
        <v>139</v>
      </c>
      <c r="F54" s="6" t="s">
        <v>140</v>
      </c>
    </row>
    <row r="55" spans="2:6" ht="15.75" customHeight="1" x14ac:dyDescent="0.2">
      <c r="B55" s="2" t="s">
        <v>141</v>
      </c>
      <c r="C55" s="8">
        <v>0.11</v>
      </c>
      <c r="D55" s="8">
        <v>0.11</v>
      </c>
      <c r="E55" s="5" t="s">
        <v>101</v>
      </c>
      <c r="F55" s="6" t="s">
        <v>142</v>
      </c>
    </row>
    <row r="56" spans="2:6" ht="30" customHeight="1" x14ac:dyDescent="0.2">
      <c r="B56" s="2" t="s">
        <v>143</v>
      </c>
      <c r="C56" s="4">
        <v>6</v>
      </c>
      <c r="D56" s="4">
        <v>6</v>
      </c>
      <c r="E56" s="5" t="s">
        <v>144</v>
      </c>
      <c r="F56" s="6" t="s">
        <v>145</v>
      </c>
    </row>
    <row r="57" spans="2:6" ht="34" customHeight="1" x14ac:dyDescent="0.2">
      <c r="B57" s="2" t="s">
        <v>146</v>
      </c>
      <c r="C57" s="7">
        <v>6</v>
      </c>
      <c r="D57" s="7">
        <v>6</v>
      </c>
      <c r="E57" s="5" t="s">
        <v>144</v>
      </c>
      <c r="F57" s="6" t="s">
        <v>147</v>
      </c>
    </row>
    <row r="58" spans="2:6" ht="15.75" customHeight="1" x14ac:dyDescent="0.2">
      <c r="B58" s="2" t="s">
        <v>148</v>
      </c>
      <c r="C58" s="11">
        <v>22</v>
      </c>
      <c r="D58" s="11">
        <v>22</v>
      </c>
      <c r="E58" s="5" t="s">
        <v>92</v>
      </c>
      <c r="F58" s="6" t="s">
        <v>149</v>
      </c>
    </row>
    <row r="59" spans="2:6" ht="15.75" customHeight="1" x14ac:dyDescent="0.2">
      <c r="B59" s="2" t="s">
        <v>150</v>
      </c>
      <c r="C59" s="8">
        <v>8.3000000000000004E-2</v>
      </c>
      <c r="D59" s="8">
        <v>8.3000000000000004E-2</v>
      </c>
      <c r="E59" s="5" t="s">
        <v>101</v>
      </c>
      <c r="F59" s="6" t="s">
        <v>151</v>
      </c>
    </row>
    <row r="60" spans="2:6" ht="15.75" customHeight="1" x14ac:dyDescent="0.2">
      <c r="B60" s="2" t="s">
        <v>152</v>
      </c>
      <c r="C60" s="8">
        <v>0.14299999999999999</v>
      </c>
      <c r="D60" s="8">
        <v>0.14299999999999999</v>
      </c>
      <c r="E60" s="5" t="s">
        <v>101</v>
      </c>
      <c r="F60" s="6" t="s">
        <v>151</v>
      </c>
    </row>
    <row r="61" spans="2:6" ht="15.75" customHeight="1" x14ac:dyDescent="0.2">
      <c r="B61" s="2" t="s">
        <v>153</v>
      </c>
      <c r="C61" s="11">
        <v>1</v>
      </c>
      <c r="D61" s="11">
        <v>1</v>
      </c>
      <c r="E61" s="5" t="s">
        <v>154</v>
      </c>
      <c r="F61" s="6" t="s">
        <v>155</v>
      </c>
    </row>
    <row r="62" spans="2:6" ht="23" customHeight="1" x14ac:dyDescent="0.2">
      <c r="B62" s="2" t="s">
        <v>156</v>
      </c>
      <c r="C62" s="4">
        <v>7.2</v>
      </c>
      <c r="D62" s="4">
        <v>7.4</v>
      </c>
      <c r="E62" s="5" t="s">
        <v>55</v>
      </c>
      <c r="F62" s="6" t="s">
        <v>157</v>
      </c>
    </row>
    <row r="63" spans="2:6" ht="15.75" customHeight="1" x14ac:dyDescent="0.2">
      <c r="B63" s="2" t="s">
        <v>158</v>
      </c>
      <c r="C63" s="7">
        <f>C62*2080/12</f>
        <v>1248</v>
      </c>
      <c r="D63" s="7">
        <f>D62*2080/12</f>
        <v>1282.6666666666667</v>
      </c>
      <c r="E63" s="5" t="s">
        <v>83</v>
      </c>
      <c r="F63" s="6" t="s">
        <v>125</v>
      </c>
    </row>
    <row r="64" spans="2:6" ht="15.75" customHeight="1" x14ac:dyDescent="0.2">
      <c r="B64" s="2" t="s">
        <v>159</v>
      </c>
      <c r="C64" s="11">
        <v>1</v>
      </c>
      <c r="D64" s="11">
        <v>1</v>
      </c>
      <c r="E64" s="5" t="s">
        <v>154</v>
      </c>
      <c r="F64" s="6" t="s">
        <v>160</v>
      </c>
    </row>
    <row r="65" spans="2:6" ht="22" customHeight="1" x14ac:dyDescent="0.2">
      <c r="B65" s="2" t="s">
        <v>161</v>
      </c>
      <c r="C65" s="10">
        <v>1.5</v>
      </c>
      <c r="D65" s="10">
        <v>1.5</v>
      </c>
      <c r="E65" s="5" t="s">
        <v>139</v>
      </c>
      <c r="F65" s="6" t="s">
        <v>162</v>
      </c>
    </row>
    <row r="67" spans="2:6" ht="19.5" customHeight="1" x14ac:dyDescent="0.2">
      <c r="B67" s="44" t="s">
        <v>163</v>
      </c>
      <c r="C67" s="44"/>
      <c r="D67" s="44"/>
      <c r="E67" s="44"/>
      <c r="F67" s="44"/>
    </row>
    <row r="68" spans="2:6" ht="21.75" customHeight="1" x14ac:dyDescent="0.2">
      <c r="B68" s="1" t="s">
        <v>49</v>
      </c>
      <c r="C68" s="1" t="s">
        <v>50</v>
      </c>
      <c r="D68" s="1" t="s">
        <v>51</v>
      </c>
      <c r="E68" s="1" t="s">
        <v>52</v>
      </c>
      <c r="F68" s="1" t="s">
        <v>53</v>
      </c>
    </row>
    <row r="69" spans="2:6" ht="15.75" customHeight="1" x14ac:dyDescent="0.2">
      <c r="B69" s="2" t="s">
        <v>164</v>
      </c>
      <c r="C69" s="4">
        <v>200</v>
      </c>
      <c r="D69" s="4">
        <v>206</v>
      </c>
      <c r="E69" s="5" t="s">
        <v>83</v>
      </c>
      <c r="F69" s="6" t="s">
        <v>165</v>
      </c>
    </row>
    <row r="70" spans="2:6" ht="15.75" customHeight="1" x14ac:dyDescent="0.2">
      <c r="B70" s="2" t="s">
        <v>166</v>
      </c>
      <c r="C70" s="4">
        <v>250</v>
      </c>
      <c r="D70" s="4">
        <v>258</v>
      </c>
      <c r="E70" s="5" t="s">
        <v>83</v>
      </c>
      <c r="F70" s="6" t="s">
        <v>167</v>
      </c>
    </row>
    <row r="71" spans="2:6" ht="15.75" customHeight="1" x14ac:dyDescent="0.2">
      <c r="B71" s="2" t="s">
        <v>168</v>
      </c>
      <c r="C71" s="4">
        <v>15</v>
      </c>
      <c r="D71" s="4">
        <v>15</v>
      </c>
      <c r="E71" s="5" t="s">
        <v>169</v>
      </c>
      <c r="F71" s="6" t="s">
        <v>170</v>
      </c>
    </row>
    <row r="72" spans="2:6" ht="15.75" customHeight="1" x14ac:dyDescent="0.2">
      <c r="B72" s="2" t="s">
        <v>171</v>
      </c>
      <c r="C72" s="4">
        <v>300</v>
      </c>
      <c r="D72" s="4">
        <v>309</v>
      </c>
      <c r="E72" s="5" t="s">
        <v>83</v>
      </c>
      <c r="F72" s="6" t="s">
        <v>172</v>
      </c>
    </row>
    <row r="73" spans="2:6" ht="15.75" customHeight="1" x14ac:dyDescent="0.2">
      <c r="B73" s="2" t="s">
        <v>173</v>
      </c>
      <c r="C73" s="4">
        <v>80000</v>
      </c>
      <c r="D73" s="4">
        <v>80000</v>
      </c>
      <c r="E73" s="5" t="s">
        <v>174</v>
      </c>
      <c r="F73" s="6" t="s">
        <v>59</v>
      </c>
    </row>
    <row r="74" spans="2:6" ht="15.75" customHeight="1" x14ac:dyDescent="0.2">
      <c r="B74" s="2" t="s">
        <v>175</v>
      </c>
      <c r="C74" s="8">
        <v>0.21</v>
      </c>
      <c r="D74" s="8">
        <v>0.21</v>
      </c>
      <c r="E74" s="5" t="s">
        <v>101</v>
      </c>
      <c r="F74" s="6" t="s">
        <v>176</v>
      </c>
    </row>
    <row r="76" spans="2:6" ht="19.5" customHeight="1" x14ac:dyDescent="0.2">
      <c r="B76" s="44" t="s">
        <v>177</v>
      </c>
      <c r="C76" s="44"/>
      <c r="D76" s="44"/>
      <c r="E76" s="44"/>
      <c r="F76" s="44"/>
    </row>
    <row r="77" spans="2:6" ht="21.75" customHeight="1" x14ac:dyDescent="0.2">
      <c r="B77" s="1" t="s">
        <v>49</v>
      </c>
      <c r="C77" s="1" t="s">
        <v>50</v>
      </c>
      <c r="D77" s="1" t="s">
        <v>51</v>
      </c>
      <c r="E77" s="1" t="s">
        <v>52</v>
      </c>
      <c r="F77" s="1" t="s">
        <v>53</v>
      </c>
    </row>
    <row r="78" spans="2:6" ht="22" customHeight="1" x14ac:dyDescent="0.2">
      <c r="B78" s="2" t="s">
        <v>178</v>
      </c>
      <c r="C78" s="4">
        <v>2000</v>
      </c>
      <c r="D78" s="4">
        <v>2060</v>
      </c>
      <c r="E78" s="5" t="s">
        <v>83</v>
      </c>
      <c r="F78" s="6" t="s">
        <v>179</v>
      </c>
    </row>
    <row r="80" spans="2:6" ht="19.5" customHeight="1" x14ac:dyDescent="0.2">
      <c r="B80" s="44" t="s">
        <v>180</v>
      </c>
      <c r="C80" s="44"/>
      <c r="D80" s="44"/>
      <c r="E80" s="44"/>
      <c r="F80" s="44"/>
    </row>
    <row r="81" spans="2:18" ht="21.75" customHeight="1" x14ac:dyDescent="0.2">
      <c r="B81" s="1" t="s">
        <v>49</v>
      </c>
      <c r="C81" s="1" t="s">
        <v>50</v>
      </c>
      <c r="D81" s="1" t="s">
        <v>51</v>
      </c>
      <c r="E81" s="1" t="s">
        <v>52</v>
      </c>
      <c r="F81" s="1" t="s">
        <v>53</v>
      </c>
    </row>
    <row r="82" spans="2:18" ht="15.75" customHeight="1" x14ac:dyDescent="0.2">
      <c r="B82" s="2" t="s">
        <v>181</v>
      </c>
      <c r="C82" s="8">
        <v>0.23</v>
      </c>
      <c r="D82" s="8">
        <v>0.23</v>
      </c>
      <c r="E82" s="5" t="s">
        <v>101</v>
      </c>
      <c r="F82" s="6" t="s">
        <v>182</v>
      </c>
    </row>
    <row r="83" spans="2:18" ht="15.75" customHeight="1" x14ac:dyDescent="0.2">
      <c r="B83" s="2" t="s">
        <v>183</v>
      </c>
      <c r="C83" s="8">
        <v>0.5</v>
      </c>
      <c r="D83" s="8">
        <v>0.5</v>
      </c>
      <c r="E83" s="5" t="s">
        <v>101</v>
      </c>
      <c r="F83" s="6" t="s">
        <v>184</v>
      </c>
    </row>
    <row r="84" spans="2:18" ht="31" customHeight="1" x14ac:dyDescent="0.2">
      <c r="B84" s="2" t="s">
        <v>185</v>
      </c>
      <c r="C84" s="8">
        <v>1</v>
      </c>
      <c r="D84" s="8">
        <v>1</v>
      </c>
      <c r="E84" s="5" t="s">
        <v>101</v>
      </c>
      <c r="F84" s="6" t="s">
        <v>186</v>
      </c>
    </row>
    <row r="85" spans="2:18" ht="15.75" customHeight="1" x14ac:dyDescent="0.2">
      <c r="B85" s="2" t="s">
        <v>187</v>
      </c>
      <c r="C85" s="11">
        <v>3</v>
      </c>
      <c r="D85" s="11">
        <v>3</v>
      </c>
      <c r="E85" s="5" t="s">
        <v>188</v>
      </c>
      <c r="F85" s="6" t="s">
        <v>189</v>
      </c>
    </row>
    <row r="87" spans="2:18" ht="19.5" customHeight="1" x14ac:dyDescent="0.2">
      <c r="B87" s="44" t="s">
        <v>190</v>
      </c>
      <c r="C87" s="44"/>
      <c r="D87" s="44"/>
      <c r="E87" s="44"/>
      <c r="F87" s="44"/>
    </row>
    <row r="88" spans="2:18" ht="21.75" customHeight="1" x14ac:dyDescent="0.2">
      <c r="B88" s="1" t="s">
        <v>49</v>
      </c>
      <c r="C88" s="1" t="s">
        <v>50</v>
      </c>
      <c r="D88" s="1" t="s">
        <v>51</v>
      </c>
      <c r="E88" s="1" t="s">
        <v>52</v>
      </c>
      <c r="F88" s="1" t="s">
        <v>53</v>
      </c>
    </row>
    <row r="89" spans="2:18" ht="15.75" customHeight="1" x14ac:dyDescent="0.2">
      <c r="B89" s="2" t="s">
        <v>191</v>
      </c>
      <c r="C89" s="4">
        <v>45</v>
      </c>
      <c r="D89" s="4">
        <v>45</v>
      </c>
      <c r="E89" s="5" t="s">
        <v>92</v>
      </c>
      <c r="F89" s="6" t="s">
        <v>192</v>
      </c>
    </row>
    <row r="90" spans="2:18" ht="15.75" customHeight="1" x14ac:dyDescent="0.2">
      <c r="B90" s="2" t="s">
        <v>193</v>
      </c>
      <c r="C90" s="4">
        <v>30</v>
      </c>
      <c r="D90" s="4">
        <v>30</v>
      </c>
      <c r="E90" s="5" t="s">
        <v>92</v>
      </c>
      <c r="F90" s="6" t="s">
        <v>194</v>
      </c>
    </row>
    <row r="91" spans="2:18" ht="15.75" customHeight="1" x14ac:dyDescent="0.2">
      <c r="B91" s="2" t="s">
        <v>195</v>
      </c>
      <c r="C91" s="11">
        <v>0</v>
      </c>
      <c r="D91" s="11">
        <v>0</v>
      </c>
      <c r="E91" s="5" t="s">
        <v>92</v>
      </c>
      <c r="F91" s="6" t="s">
        <v>196</v>
      </c>
    </row>
    <row r="92" spans="2:18" ht="26" customHeight="1" x14ac:dyDescent="0.2">
      <c r="B92" s="2" t="s">
        <v>197</v>
      </c>
      <c r="C92" s="4">
        <v>100000</v>
      </c>
      <c r="D92" s="4">
        <v>100000</v>
      </c>
      <c r="E92" s="5" t="s">
        <v>174</v>
      </c>
      <c r="F92" s="6" t="s">
        <v>198</v>
      </c>
    </row>
    <row r="93" spans="2:18" ht="26" customHeight="1" x14ac:dyDescent="0.2">
      <c r="B93" s="2" t="s">
        <v>199</v>
      </c>
      <c r="C93" s="8">
        <v>0.08</v>
      </c>
      <c r="D93" s="8">
        <v>0.08</v>
      </c>
      <c r="E93" s="5" t="s">
        <v>101</v>
      </c>
      <c r="F93" s="6" t="s">
        <v>200</v>
      </c>
    </row>
    <row r="95" spans="2:18" ht="19.5" customHeight="1" x14ac:dyDescent="0.2">
      <c r="B95" s="44" t="s">
        <v>201</v>
      </c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</row>
    <row r="96" spans="2:18" ht="30" customHeight="1" x14ac:dyDescent="0.2">
      <c r="B96" s="3" t="s">
        <v>49</v>
      </c>
      <c r="C96" s="12" t="s">
        <v>202</v>
      </c>
      <c r="D96" s="12" t="s">
        <v>203</v>
      </c>
      <c r="E96" s="12" t="s">
        <v>204</v>
      </c>
      <c r="F96" s="12" t="s">
        <v>205</v>
      </c>
      <c r="G96" s="12" t="s">
        <v>206</v>
      </c>
      <c r="H96" s="12" t="s">
        <v>207</v>
      </c>
      <c r="I96" s="12" t="s">
        <v>208</v>
      </c>
      <c r="J96" s="12" t="s">
        <v>209</v>
      </c>
      <c r="K96" s="12" t="s">
        <v>210</v>
      </c>
      <c r="L96" s="12" t="s">
        <v>211</v>
      </c>
      <c r="M96" s="12" t="s">
        <v>212</v>
      </c>
      <c r="N96" s="12" t="s">
        <v>213</v>
      </c>
      <c r="O96" s="12" t="s">
        <v>214</v>
      </c>
      <c r="P96" s="12" t="s">
        <v>215</v>
      </c>
      <c r="Q96" s="12" t="s">
        <v>216</v>
      </c>
      <c r="R96" s="12" t="s">
        <v>217</v>
      </c>
    </row>
    <row r="97" spans="2:18" ht="15.75" customHeight="1" x14ac:dyDescent="0.2">
      <c r="B97" s="2" t="s">
        <v>218</v>
      </c>
      <c r="C97" s="13">
        <f>Pressupostos_Assumpt!C25</f>
        <v>5</v>
      </c>
      <c r="D97" s="13">
        <f>Pressupostos_Assumpt!C25</f>
        <v>5</v>
      </c>
      <c r="E97" s="13">
        <f>Pressupostos_Assumpt!C25</f>
        <v>5</v>
      </c>
      <c r="F97" s="13">
        <f>Pressupostos_Assumpt!C25</f>
        <v>5</v>
      </c>
      <c r="G97" s="13">
        <f>Pressupostos_Assumpt!C25</f>
        <v>5</v>
      </c>
      <c r="H97" s="13">
        <f>Pressupostos_Assumpt!C25</f>
        <v>5</v>
      </c>
      <c r="I97" s="13">
        <f>Pressupostos_Assumpt!C25</f>
        <v>5</v>
      </c>
      <c r="J97" s="13">
        <f>Pressupostos_Assumpt!C25</f>
        <v>5</v>
      </c>
      <c r="K97" s="13">
        <f>Pressupostos_Assumpt!C26</f>
        <v>22</v>
      </c>
      <c r="L97" s="13">
        <f>Pressupostos_Assumpt!C26</f>
        <v>22</v>
      </c>
      <c r="M97" s="13">
        <f>Pressupostos_Assumpt!D26*3</f>
        <v>66</v>
      </c>
      <c r="N97" s="13">
        <f>Pressupostos_Assumpt!D26*3</f>
        <v>66</v>
      </c>
      <c r="O97" s="13">
        <f>Pressupostos_Assumpt!D26*3</f>
        <v>66</v>
      </c>
      <c r="P97" s="13">
        <f>Pressupostos_Assumpt!D26</f>
        <v>22</v>
      </c>
      <c r="Q97" s="13">
        <f>Pressupostos_Assumpt!D26</f>
        <v>22</v>
      </c>
      <c r="R97" s="13">
        <f>Pressupostos_Assumpt!D26</f>
        <v>22</v>
      </c>
    </row>
    <row r="98" spans="2:18" ht="15.75" customHeight="1" x14ac:dyDescent="0.2">
      <c r="B98" s="2" t="s">
        <v>219</v>
      </c>
      <c r="C98" s="13">
        <v>5</v>
      </c>
      <c r="D98" s="13">
        <v>8</v>
      </c>
      <c r="E98" s="13">
        <v>12</v>
      </c>
      <c r="F98" s="13">
        <v>16</v>
      </c>
      <c r="G98" s="13">
        <v>20</v>
      </c>
      <c r="H98" s="13">
        <v>23</v>
      </c>
      <c r="I98" s="13">
        <v>25</v>
      </c>
      <c r="J98" s="13">
        <v>25</v>
      </c>
      <c r="K98" s="13">
        <v>50</v>
      </c>
      <c r="L98" s="13">
        <v>50</v>
      </c>
      <c r="M98" s="13">
        <v>25</v>
      </c>
      <c r="N98" s="13">
        <v>25</v>
      </c>
      <c r="O98" s="13">
        <v>25</v>
      </c>
      <c r="P98" s="13">
        <v>25</v>
      </c>
      <c r="Q98" s="13">
        <v>50</v>
      </c>
      <c r="R98" s="13">
        <v>50</v>
      </c>
    </row>
    <row r="99" spans="2:18" ht="15.75" customHeight="1" x14ac:dyDescent="0.2">
      <c r="B99" s="2" t="s">
        <v>220</v>
      </c>
      <c r="C99" s="14">
        <v>1</v>
      </c>
      <c r="D99" s="14">
        <v>1</v>
      </c>
      <c r="E99" s="14">
        <v>1</v>
      </c>
      <c r="F99" s="14">
        <v>1</v>
      </c>
      <c r="G99" s="14">
        <v>1</v>
      </c>
      <c r="H99" s="14">
        <v>1</v>
      </c>
      <c r="I99" s="14">
        <v>1</v>
      </c>
      <c r="J99" s="14">
        <v>1</v>
      </c>
      <c r="K99" s="14">
        <v>1.05</v>
      </c>
      <c r="L99" s="14">
        <v>1.05</v>
      </c>
      <c r="M99" s="14">
        <v>0.9</v>
      </c>
      <c r="N99" s="14">
        <v>1.05</v>
      </c>
      <c r="O99" s="14">
        <v>1.05</v>
      </c>
      <c r="P99" s="14">
        <v>1.05</v>
      </c>
      <c r="Q99" s="14">
        <v>1.1000000000000001</v>
      </c>
      <c r="R99" s="14">
        <v>1.1000000000000001</v>
      </c>
    </row>
  </sheetData>
  <mergeCells count="12">
    <mergeCell ref="B1:F1"/>
    <mergeCell ref="B2:F2"/>
    <mergeCell ref="B4:F4"/>
    <mergeCell ref="B20:F20"/>
    <mergeCell ref="B28:F28"/>
    <mergeCell ref="B87:F87"/>
    <mergeCell ref="B95:R95"/>
    <mergeCell ref="B38:F38"/>
    <mergeCell ref="B52:F52"/>
    <mergeCell ref="B67:F67"/>
    <mergeCell ref="B76:F76"/>
    <mergeCell ref="B80:F8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T44"/>
  <sheetViews>
    <sheetView showGridLines="0" zoomScale="163" zoomScaleNormal="100" workbookViewId="0">
      <pane xSplit="2" ySplit="3" topLeftCell="C14" activePane="bottomRight" state="frozen"/>
      <selection pane="topRight" activeCell="C1" sqref="C1"/>
      <selection pane="bottomLeft" activeCell="A4" sqref="A4"/>
      <selection pane="bottomRight" activeCell="D4" sqref="D4"/>
    </sheetView>
  </sheetViews>
  <sheetFormatPr baseColWidth="10" defaultColWidth="8.6640625" defaultRowHeight="15" x14ac:dyDescent="0.2"/>
  <cols>
    <col min="1" max="1" width="2.5" customWidth="1"/>
    <col min="2" max="2" width="44" customWidth="1"/>
    <col min="3" max="18" width="9.5" customWidth="1"/>
    <col min="19" max="20" width="12" customWidth="1"/>
  </cols>
  <sheetData>
    <row r="1" spans="2:20" ht="25.5" customHeight="1" x14ac:dyDescent="0.2">
      <c r="B1" s="45" t="s">
        <v>221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</row>
    <row r="2" spans="2:20" ht="15" customHeight="1" x14ac:dyDescent="0.2">
      <c r="C2" s="47" t="s">
        <v>222</v>
      </c>
      <c r="D2" s="47"/>
      <c r="E2" s="47"/>
      <c r="F2" s="47"/>
      <c r="G2" s="47"/>
      <c r="H2" s="47"/>
      <c r="I2" s="47"/>
      <c r="J2" s="47"/>
      <c r="K2" s="47"/>
      <c r="L2" s="47"/>
      <c r="M2" s="47" t="s">
        <v>223</v>
      </c>
      <c r="N2" s="47"/>
      <c r="O2" s="47"/>
      <c r="P2" s="47"/>
      <c r="Q2" s="47"/>
      <c r="R2" s="47"/>
    </row>
    <row r="3" spans="2:20" ht="33.75" customHeight="1" x14ac:dyDescent="0.2">
      <c r="B3" s="15" t="s">
        <v>224</v>
      </c>
      <c r="C3" s="12" t="s">
        <v>202</v>
      </c>
      <c r="D3" s="12" t="s">
        <v>203</v>
      </c>
      <c r="E3" s="12" t="s">
        <v>204</v>
      </c>
      <c r="F3" s="12" t="s">
        <v>205</v>
      </c>
      <c r="G3" s="12" t="s">
        <v>206</v>
      </c>
      <c r="H3" s="12" t="s">
        <v>207</v>
      </c>
      <c r="I3" s="12" t="s">
        <v>208</v>
      </c>
      <c r="J3" s="12" t="s">
        <v>209</v>
      </c>
      <c r="K3" s="12" t="s">
        <v>210</v>
      </c>
      <c r="L3" s="12" t="s">
        <v>211</v>
      </c>
      <c r="M3" s="12" t="s">
        <v>212</v>
      </c>
      <c r="N3" s="12" t="s">
        <v>213</v>
      </c>
      <c r="O3" s="12" t="s">
        <v>214</v>
      </c>
      <c r="P3" s="12" t="s">
        <v>215</v>
      </c>
      <c r="Q3" s="12" t="s">
        <v>216</v>
      </c>
      <c r="R3" s="12" t="s">
        <v>217</v>
      </c>
      <c r="S3" s="12" t="s">
        <v>225</v>
      </c>
      <c r="T3" s="12" t="s">
        <v>226</v>
      </c>
    </row>
    <row r="4" spans="2:20" ht="32.25" customHeight="1" x14ac:dyDescent="0.2">
      <c r="B4" s="2" t="s">
        <v>218</v>
      </c>
      <c r="C4" s="13">
        <f>Pressupostos_Assumpt!C97</f>
        <v>5</v>
      </c>
      <c r="D4" s="13">
        <f>Pressupostos_Assumpt!D97</f>
        <v>5</v>
      </c>
      <c r="E4" s="13">
        <f>Pressupostos_Assumpt!E97</f>
        <v>5</v>
      </c>
      <c r="F4" s="13">
        <f>Pressupostos_Assumpt!F97</f>
        <v>5</v>
      </c>
      <c r="G4" s="13">
        <f>Pressupostos_Assumpt!G97</f>
        <v>5</v>
      </c>
      <c r="H4" s="13">
        <f>Pressupostos_Assumpt!H97</f>
        <v>5</v>
      </c>
      <c r="I4" s="13">
        <f>Pressupostos_Assumpt!I97</f>
        <v>5</v>
      </c>
      <c r="J4" s="13">
        <f>Pressupostos_Assumpt!J97</f>
        <v>5</v>
      </c>
      <c r="K4" s="13">
        <f>Pressupostos_Assumpt!K97</f>
        <v>22</v>
      </c>
      <c r="L4" s="13">
        <f>Pressupostos_Assumpt!L97</f>
        <v>22</v>
      </c>
      <c r="M4" s="13">
        <f>Pressupostos_Assumpt!M97</f>
        <v>66</v>
      </c>
      <c r="N4" s="13">
        <f>Pressupostos_Assumpt!N97</f>
        <v>66</v>
      </c>
      <c r="O4" s="13">
        <f>Pressupostos_Assumpt!O97</f>
        <v>66</v>
      </c>
      <c r="P4" s="13">
        <f>Pressupostos_Assumpt!P97</f>
        <v>22</v>
      </c>
      <c r="Q4" s="13">
        <f>Pressupostos_Assumpt!Q97</f>
        <v>22</v>
      </c>
      <c r="R4" s="13">
        <f>Pressupostos_Assumpt!R97</f>
        <v>22</v>
      </c>
      <c r="S4" s="16">
        <f>C4+D4+E4+F4+G4+H4+I4+J4+K4+L4</f>
        <v>84</v>
      </c>
      <c r="T4" s="16">
        <f>M4+N4+O4+P4+Q4+R4</f>
        <v>264</v>
      </c>
    </row>
    <row r="5" spans="2:20" ht="15" customHeight="1" x14ac:dyDescent="0.2">
      <c r="B5" s="2" t="s">
        <v>227</v>
      </c>
      <c r="C5" s="17">
        <f>C4/Pressupostos_Assumpt!C26</f>
        <v>0.22727272727272727</v>
      </c>
      <c r="D5" s="17">
        <f>D4/Pressupostos_Assumpt!C26</f>
        <v>0.22727272727272727</v>
      </c>
      <c r="E5" s="17">
        <f>E4/Pressupostos_Assumpt!C26</f>
        <v>0.22727272727272727</v>
      </c>
      <c r="F5" s="17">
        <f>F4/Pressupostos_Assumpt!C26</f>
        <v>0.22727272727272727</v>
      </c>
      <c r="G5" s="17">
        <f>G4/Pressupostos_Assumpt!C26</f>
        <v>0.22727272727272727</v>
      </c>
      <c r="H5" s="17">
        <f>H4/Pressupostos_Assumpt!C26</f>
        <v>0.22727272727272727</v>
      </c>
      <c r="I5" s="17">
        <f>I4/Pressupostos_Assumpt!C26</f>
        <v>0.22727272727272727</v>
      </c>
      <c r="J5" s="17">
        <f>J4/Pressupostos_Assumpt!C26</f>
        <v>0.22727272727272727</v>
      </c>
      <c r="K5" s="17">
        <f>K4/Pressupostos_Assumpt!C26</f>
        <v>1</v>
      </c>
      <c r="L5" s="17">
        <f>L4/Pressupostos_Assumpt!C26</f>
        <v>1</v>
      </c>
      <c r="M5" s="17">
        <f>M4/Pressupostos_Assumpt!D26</f>
        <v>3</v>
      </c>
      <c r="N5" s="17">
        <f>N4/Pressupostos_Assumpt!D26</f>
        <v>3</v>
      </c>
      <c r="O5" s="17">
        <f>O4/Pressupostos_Assumpt!D26</f>
        <v>3</v>
      </c>
      <c r="P5" s="17">
        <f>P4/Pressupostos_Assumpt!D26</f>
        <v>1</v>
      </c>
      <c r="Q5" s="17">
        <f>Q4/Pressupostos_Assumpt!D26</f>
        <v>1</v>
      </c>
      <c r="R5" s="17">
        <f>R4/Pressupostos_Assumpt!D26</f>
        <v>1</v>
      </c>
    </row>
    <row r="6" spans="2:20" ht="15" customHeight="1" x14ac:dyDescent="0.2">
      <c r="B6" s="2" t="s">
        <v>219</v>
      </c>
      <c r="C6" s="13">
        <f>Pressupostos_Assumpt!C98</f>
        <v>5</v>
      </c>
      <c r="D6" s="13">
        <f>Pressupostos_Assumpt!D98</f>
        <v>8</v>
      </c>
      <c r="E6" s="13">
        <f>Pressupostos_Assumpt!E98</f>
        <v>12</v>
      </c>
      <c r="F6" s="13">
        <f>Pressupostos_Assumpt!F98</f>
        <v>16</v>
      </c>
      <c r="G6" s="13">
        <f>Pressupostos_Assumpt!G98</f>
        <v>20</v>
      </c>
      <c r="H6" s="13">
        <f>Pressupostos_Assumpt!H98</f>
        <v>23</v>
      </c>
      <c r="I6" s="13">
        <f>Pressupostos_Assumpt!I98</f>
        <v>25</v>
      </c>
      <c r="J6" s="13">
        <f>Pressupostos_Assumpt!J98</f>
        <v>25</v>
      </c>
      <c r="K6" s="13">
        <f>Pressupostos_Assumpt!K98</f>
        <v>50</v>
      </c>
      <c r="L6" s="13">
        <f>Pressupostos_Assumpt!L98</f>
        <v>50</v>
      </c>
      <c r="M6" s="13">
        <f>Pressupostos_Assumpt!M98</f>
        <v>25</v>
      </c>
      <c r="N6" s="13">
        <f>Pressupostos_Assumpt!N98</f>
        <v>25</v>
      </c>
      <c r="O6" s="13">
        <f>Pressupostos_Assumpt!O98</f>
        <v>25</v>
      </c>
      <c r="P6" s="13">
        <f>Pressupostos_Assumpt!P98</f>
        <v>25</v>
      </c>
      <c r="Q6" s="13">
        <f>Pressupostos_Assumpt!Q98</f>
        <v>50</v>
      </c>
      <c r="R6" s="13">
        <f>Pressupostos_Assumpt!R98</f>
        <v>50</v>
      </c>
    </row>
    <row r="7" spans="2:20" ht="15" customHeight="1" x14ac:dyDescent="0.2">
      <c r="B7" s="3" t="s">
        <v>228</v>
      </c>
      <c r="C7" s="18">
        <f t="shared" ref="C7:R7" si="0">C6*C4</f>
        <v>25</v>
      </c>
      <c r="D7" s="18">
        <f t="shared" si="0"/>
        <v>40</v>
      </c>
      <c r="E7" s="18">
        <f t="shared" si="0"/>
        <v>60</v>
      </c>
      <c r="F7" s="18">
        <f t="shared" si="0"/>
        <v>80</v>
      </c>
      <c r="G7" s="18">
        <f t="shared" si="0"/>
        <v>100</v>
      </c>
      <c r="H7" s="18">
        <f t="shared" si="0"/>
        <v>115</v>
      </c>
      <c r="I7" s="18">
        <f t="shared" si="0"/>
        <v>125</v>
      </c>
      <c r="J7" s="18">
        <f t="shared" si="0"/>
        <v>125</v>
      </c>
      <c r="K7" s="18">
        <f t="shared" si="0"/>
        <v>1100</v>
      </c>
      <c r="L7" s="18">
        <f t="shared" si="0"/>
        <v>1100</v>
      </c>
      <c r="M7" s="18">
        <f t="shared" si="0"/>
        <v>1650</v>
      </c>
      <c r="N7" s="18">
        <f t="shared" si="0"/>
        <v>1650</v>
      </c>
      <c r="O7" s="18">
        <f t="shared" si="0"/>
        <v>1650</v>
      </c>
      <c r="P7" s="18">
        <f t="shared" si="0"/>
        <v>550</v>
      </c>
      <c r="Q7" s="18">
        <f t="shared" si="0"/>
        <v>1100</v>
      </c>
      <c r="R7" s="18">
        <f t="shared" si="0"/>
        <v>1100</v>
      </c>
      <c r="S7" s="19">
        <f>C7+D7+E7+F7+G7+H7+I7+J7+K7+L7</f>
        <v>2870</v>
      </c>
      <c r="T7" s="19">
        <f>M7+N7+O7+P7+Q7+R7</f>
        <v>7700</v>
      </c>
    </row>
    <row r="8" spans="2:20" ht="15" customHeight="1" x14ac:dyDescent="0.2">
      <c r="B8" s="2" t="s">
        <v>220</v>
      </c>
      <c r="C8" s="14">
        <f>Pressupostos_Assumpt!C99</f>
        <v>1</v>
      </c>
      <c r="D8" s="14">
        <f>Pressupostos_Assumpt!D99</f>
        <v>1</v>
      </c>
      <c r="E8" s="14">
        <f>Pressupostos_Assumpt!E99</f>
        <v>1</v>
      </c>
      <c r="F8" s="14">
        <f>Pressupostos_Assumpt!F99</f>
        <v>1</v>
      </c>
      <c r="G8" s="14">
        <f>Pressupostos_Assumpt!G99</f>
        <v>1</v>
      </c>
      <c r="H8" s="14">
        <f>Pressupostos_Assumpt!H99</f>
        <v>1</v>
      </c>
      <c r="I8" s="14">
        <f>Pressupostos_Assumpt!I99</f>
        <v>1</v>
      </c>
      <c r="J8" s="14">
        <f>Pressupostos_Assumpt!J99</f>
        <v>1</v>
      </c>
      <c r="K8" s="14">
        <f>Pressupostos_Assumpt!K99</f>
        <v>1.05</v>
      </c>
      <c r="L8" s="14">
        <f>Pressupostos_Assumpt!L99</f>
        <v>1.05</v>
      </c>
      <c r="M8" s="14">
        <f>Pressupostos_Assumpt!M99</f>
        <v>0.9</v>
      </c>
      <c r="N8" s="14">
        <f>Pressupostos_Assumpt!N99</f>
        <v>1.05</v>
      </c>
      <c r="O8" s="14">
        <f>Pressupostos_Assumpt!O99</f>
        <v>1.05</v>
      </c>
      <c r="P8" s="14">
        <f>Pressupostos_Assumpt!P99</f>
        <v>1.05</v>
      </c>
      <c r="Q8" s="14">
        <f>Pressupostos_Assumpt!Q99</f>
        <v>1.1000000000000001</v>
      </c>
      <c r="R8" s="14">
        <f>Pressupostos_Assumpt!R99</f>
        <v>1.1000000000000001</v>
      </c>
    </row>
    <row r="9" spans="2:20" ht="15" customHeight="1" x14ac:dyDescent="0.2">
      <c r="B9" s="2" t="s">
        <v>69</v>
      </c>
      <c r="C9" s="13">
        <f>Pressupostos_Assumpt!C12</f>
        <v>86</v>
      </c>
      <c r="D9" s="13">
        <f>Pressupostos_Assumpt!C12</f>
        <v>86</v>
      </c>
      <c r="E9" s="13">
        <f>Pressupostos_Assumpt!C12</f>
        <v>86</v>
      </c>
      <c r="F9" s="13">
        <f>Pressupostos_Assumpt!C12</f>
        <v>86</v>
      </c>
      <c r="G9" s="13">
        <f>Pressupostos_Assumpt!C12</f>
        <v>86</v>
      </c>
      <c r="H9" s="13">
        <f>Pressupostos_Assumpt!C12</f>
        <v>86</v>
      </c>
      <c r="I9" s="13">
        <f>Pressupostos_Assumpt!C12</f>
        <v>86</v>
      </c>
      <c r="J9" s="13">
        <f>Pressupostos_Assumpt!C12</f>
        <v>86</v>
      </c>
      <c r="K9" s="13">
        <f>Pressupostos_Assumpt!C12</f>
        <v>86</v>
      </c>
      <c r="L9" s="13">
        <f>Pressupostos_Assumpt!C12</f>
        <v>86</v>
      </c>
      <c r="M9" s="13">
        <f>Pressupostos_Assumpt!D12</f>
        <v>86</v>
      </c>
      <c r="N9" s="13">
        <f>Pressupostos_Assumpt!D12</f>
        <v>86</v>
      </c>
      <c r="O9" s="13">
        <f>Pressupostos_Assumpt!D12</f>
        <v>86</v>
      </c>
      <c r="P9" s="13">
        <f>Pressupostos_Assumpt!D12</f>
        <v>86</v>
      </c>
      <c r="Q9" s="13">
        <f>Pressupostos_Assumpt!D12</f>
        <v>86</v>
      </c>
      <c r="R9" s="13">
        <f>Pressupostos_Assumpt!D12</f>
        <v>86</v>
      </c>
    </row>
    <row r="10" spans="2:20" ht="15" customHeight="1" x14ac:dyDescent="0.2">
      <c r="B10" s="3" t="s">
        <v>229</v>
      </c>
      <c r="C10" s="18">
        <f t="shared" ref="C10:R10" si="1">C7*C9*C8</f>
        <v>2150</v>
      </c>
      <c r="D10" s="18">
        <f t="shared" si="1"/>
        <v>3440</v>
      </c>
      <c r="E10" s="18">
        <f t="shared" si="1"/>
        <v>5160</v>
      </c>
      <c r="F10" s="18">
        <f t="shared" si="1"/>
        <v>6880</v>
      </c>
      <c r="G10" s="18">
        <f t="shared" si="1"/>
        <v>8600</v>
      </c>
      <c r="H10" s="18">
        <f t="shared" si="1"/>
        <v>9890</v>
      </c>
      <c r="I10" s="18">
        <f t="shared" si="1"/>
        <v>10750</v>
      </c>
      <c r="J10" s="18">
        <f t="shared" si="1"/>
        <v>10750</v>
      </c>
      <c r="K10" s="18">
        <f t="shared" si="1"/>
        <v>99330</v>
      </c>
      <c r="L10" s="18">
        <f t="shared" si="1"/>
        <v>99330</v>
      </c>
      <c r="M10" s="18">
        <f t="shared" si="1"/>
        <v>127710</v>
      </c>
      <c r="N10" s="18">
        <f t="shared" si="1"/>
        <v>148995</v>
      </c>
      <c r="O10" s="18">
        <f t="shared" si="1"/>
        <v>148995</v>
      </c>
      <c r="P10" s="18">
        <f t="shared" si="1"/>
        <v>49665</v>
      </c>
      <c r="Q10" s="18">
        <f t="shared" si="1"/>
        <v>104060.00000000001</v>
      </c>
      <c r="R10" s="18">
        <f t="shared" si="1"/>
        <v>104060.00000000001</v>
      </c>
      <c r="S10" s="19">
        <f>C10+D10+E10+F10+G10+H10+I10+J10+K10+L10</f>
        <v>256280</v>
      </c>
      <c r="T10" s="19">
        <f>M10+N10+O10+P10+Q10+R10</f>
        <v>683485</v>
      </c>
    </row>
    <row r="11" spans="2:20" ht="15" customHeight="1" x14ac:dyDescent="0.2">
      <c r="B11" s="3" t="s">
        <v>230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spans="2:20" ht="15" customHeight="1" x14ac:dyDescent="0.2">
      <c r="B12" s="2" t="s">
        <v>231</v>
      </c>
      <c r="C12" s="13">
        <f>CEILING(MIN(C6,Pressupostos_Assumpt!C23)*(1+Pressupostos_Assumpt!C31),1)</f>
        <v>6</v>
      </c>
      <c r="D12" s="13">
        <f>CEILING(MIN(D6,Pressupostos_Assumpt!C23)*(1+Pressupostos_Assumpt!C31),1)</f>
        <v>10</v>
      </c>
      <c r="E12" s="13">
        <f>CEILING(MIN(E6,Pressupostos_Assumpt!C23)*(1+Pressupostos_Assumpt!C31),1)</f>
        <v>14</v>
      </c>
      <c r="F12" s="13">
        <f>CEILING(MIN(F6,Pressupostos_Assumpt!C23)*(1+Pressupostos_Assumpt!C31),1)</f>
        <v>19</v>
      </c>
      <c r="G12" s="13">
        <f>CEILING(MIN(G6,Pressupostos_Assumpt!C23)*(1+Pressupostos_Assumpt!C31),1)</f>
        <v>23</v>
      </c>
      <c r="H12" s="13">
        <f>CEILING(MIN(H6,Pressupostos_Assumpt!C23)*(1+Pressupostos_Assumpt!C31),1)</f>
        <v>27</v>
      </c>
      <c r="I12" s="13">
        <f>CEILING(MIN(I6,Pressupostos_Assumpt!C23)*(1+Pressupostos_Assumpt!C31),1)</f>
        <v>29</v>
      </c>
      <c r="J12" s="13">
        <f>CEILING(MIN(J6,Pressupostos_Assumpt!C23)*(1+Pressupostos_Assumpt!C31),1)</f>
        <v>29</v>
      </c>
      <c r="K12" s="13">
        <f>CEILING(MIN(K6,Pressupostos_Assumpt!C23)*(1+Pressupostos_Assumpt!C31),1)</f>
        <v>29</v>
      </c>
      <c r="L12" s="13">
        <f>CEILING(MIN(L6,Pressupostos_Assumpt!C23)*(1+Pressupostos_Assumpt!C31),1)</f>
        <v>29</v>
      </c>
      <c r="M12" s="13">
        <f>CEILING(MIN(M6,Pressupostos_Assumpt!D23)*(1+Pressupostos_Assumpt!D31),1)</f>
        <v>29</v>
      </c>
      <c r="N12" s="13">
        <f>CEILING(MIN(N6,Pressupostos_Assumpt!D23)*(1+Pressupostos_Assumpt!D31),1)</f>
        <v>29</v>
      </c>
      <c r="O12" s="13">
        <f>CEILING(MIN(O6,Pressupostos_Assumpt!D23)*(1+Pressupostos_Assumpt!D31),1)</f>
        <v>29</v>
      </c>
      <c r="P12" s="13">
        <f>CEILING(MIN(P6,Pressupostos_Assumpt!D23)*(1+Pressupostos_Assumpt!D31),1)</f>
        <v>29</v>
      </c>
      <c r="Q12" s="13">
        <f>CEILING(MIN(Q6,Pressupostos_Assumpt!D23)*(1+Pressupostos_Assumpt!D31),1)</f>
        <v>29</v>
      </c>
      <c r="R12" s="13">
        <f>CEILING(MIN(R6,Pressupostos_Assumpt!D23)*(1+Pressupostos_Assumpt!D31),1)</f>
        <v>29</v>
      </c>
      <c r="S12" s="16">
        <f>MAX(C12:L12)</f>
        <v>29</v>
      </c>
      <c r="T12" s="16">
        <f>MAX(M12:R12)</f>
        <v>29</v>
      </c>
    </row>
    <row r="13" spans="2:20" ht="15" customHeight="1" x14ac:dyDescent="0.2">
      <c r="B13" s="2" t="s">
        <v>232</v>
      </c>
      <c r="C13" s="13">
        <f>CEILING(MAX(0,C6-Pressupostos_Assumpt!C23)*(1+Pressupostos_Assumpt!C31),1)</f>
        <v>0</v>
      </c>
      <c r="D13" s="13">
        <f>CEILING(MAX(0,D6-Pressupostos_Assumpt!C23)*(1+Pressupostos_Assumpt!C31),1)</f>
        <v>0</v>
      </c>
      <c r="E13" s="13">
        <f>CEILING(MAX(0,E6-Pressupostos_Assumpt!C23)*(1+Pressupostos_Assumpt!C31),1)</f>
        <v>0</v>
      </c>
      <c r="F13" s="13">
        <f>CEILING(MAX(0,F6-Pressupostos_Assumpt!C23)*(1+Pressupostos_Assumpt!C31),1)</f>
        <v>0</v>
      </c>
      <c r="G13" s="13">
        <f>CEILING(MAX(0,G6-Pressupostos_Assumpt!C23)*(1+Pressupostos_Assumpt!C31),1)</f>
        <v>0</v>
      </c>
      <c r="H13" s="13">
        <f>CEILING(MAX(0,H6-Pressupostos_Assumpt!C23)*(1+Pressupostos_Assumpt!C31),1)</f>
        <v>0</v>
      </c>
      <c r="I13" s="13">
        <f>CEILING(MAX(0,I6-Pressupostos_Assumpt!C23)*(1+Pressupostos_Assumpt!C31),1)</f>
        <v>0</v>
      </c>
      <c r="J13" s="13">
        <f>CEILING(MAX(0,J6-Pressupostos_Assumpt!C23)*(1+Pressupostos_Assumpt!C31),1)</f>
        <v>0</v>
      </c>
      <c r="K13" s="13">
        <f>CEILING(MAX(0,K6-Pressupostos_Assumpt!C23)*(1+Pressupostos_Assumpt!C31),1)</f>
        <v>29</v>
      </c>
      <c r="L13" s="13">
        <f>CEILING(MAX(0,L6-Pressupostos_Assumpt!C23)*(1+Pressupostos_Assumpt!C31),1)</f>
        <v>29</v>
      </c>
      <c r="M13" s="13">
        <f>CEILING(MAX(0,M6-Pressupostos_Assumpt!D23)*(1+Pressupostos_Assumpt!D31),1)</f>
        <v>0</v>
      </c>
      <c r="N13" s="13">
        <f>CEILING(MAX(0,N6-Pressupostos_Assumpt!D23)*(1+Pressupostos_Assumpt!D31),1)</f>
        <v>0</v>
      </c>
      <c r="O13" s="13">
        <f>CEILING(MAX(0,O6-Pressupostos_Assumpt!D23)*(1+Pressupostos_Assumpt!D31),1)</f>
        <v>0</v>
      </c>
      <c r="P13" s="13">
        <f>CEILING(MAX(0,P6-Pressupostos_Assumpt!D23)*(1+Pressupostos_Assumpt!D31),1)</f>
        <v>0</v>
      </c>
      <c r="Q13" s="13">
        <f>CEILING(MAX(0,Q6-Pressupostos_Assumpt!D23)*(1+Pressupostos_Assumpt!D31),1)</f>
        <v>29</v>
      </c>
      <c r="R13" s="13">
        <f>CEILING(MAX(0,R6-Pressupostos_Assumpt!D23)*(1+Pressupostos_Assumpt!D31),1)</f>
        <v>29</v>
      </c>
      <c r="S13" s="16">
        <f>MAX(C13:L13)</f>
        <v>29</v>
      </c>
      <c r="T13" s="16">
        <f>MAX(M13:R13)</f>
        <v>29</v>
      </c>
    </row>
    <row r="14" spans="2:20" ht="15" customHeight="1" x14ac:dyDescent="0.2">
      <c r="B14" s="3" t="s">
        <v>233</v>
      </c>
      <c r="C14" s="18">
        <f t="shared" ref="C14:R14" si="2">C12+C13</f>
        <v>6</v>
      </c>
      <c r="D14" s="18">
        <f t="shared" si="2"/>
        <v>10</v>
      </c>
      <c r="E14" s="18">
        <f t="shared" si="2"/>
        <v>14</v>
      </c>
      <c r="F14" s="18">
        <f t="shared" si="2"/>
        <v>19</v>
      </c>
      <c r="G14" s="18">
        <f t="shared" si="2"/>
        <v>23</v>
      </c>
      <c r="H14" s="18">
        <f t="shared" si="2"/>
        <v>27</v>
      </c>
      <c r="I14" s="18">
        <f t="shared" si="2"/>
        <v>29</v>
      </c>
      <c r="J14" s="18">
        <f t="shared" si="2"/>
        <v>29</v>
      </c>
      <c r="K14" s="18">
        <f t="shared" si="2"/>
        <v>58</v>
      </c>
      <c r="L14" s="18">
        <f t="shared" si="2"/>
        <v>58</v>
      </c>
      <c r="M14" s="18">
        <f t="shared" si="2"/>
        <v>29</v>
      </c>
      <c r="N14" s="18">
        <f t="shared" si="2"/>
        <v>29</v>
      </c>
      <c r="O14" s="18">
        <f t="shared" si="2"/>
        <v>29</v>
      </c>
      <c r="P14" s="18">
        <f t="shared" si="2"/>
        <v>29</v>
      </c>
      <c r="Q14" s="18">
        <f t="shared" si="2"/>
        <v>58</v>
      </c>
      <c r="R14" s="18">
        <f t="shared" si="2"/>
        <v>58</v>
      </c>
      <c r="S14" s="19">
        <f>MAX(C14:L14)</f>
        <v>58</v>
      </c>
      <c r="T14" s="19">
        <f>MAX(M14:R14)</f>
        <v>58</v>
      </c>
    </row>
    <row r="15" spans="2:20" ht="15" customHeight="1" x14ac:dyDescent="0.2">
      <c r="B15" s="3" t="s">
        <v>234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spans="2:20" ht="15" customHeight="1" x14ac:dyDescent="0.2">
      <c r="B16" s="2" t="s">
        <v>235</v>
      </c>
      <c r="C16" s="13">
        <f>CEILING(MIN(C6,Pressupostos_Assumpt!C23)*(1+Pressupostos_Assumpt!C49),1)</f>
        <v>6</v>
      </c>
      <c r="D16" s="13">
        <f>CEILING(MIN(D6,Pressupostos_Assumpt!C23)*(1+Pressupostos_Assumpt!C49),1)</f>
        <v>10</v>
      </c>
      <c r="E16" s="13">
        <f>CEILING(MIN(E6,Pressupostos_Assumpt!C23)*(1+Pressupostos_Assumpt!C49),1)</f>
        <v>14</v>
      </c>
      <c r="F16" s="13">
        <f>CEILING(MIN(F6,Pressupostos_Assumpt!C23)*(1+Pressupostos_Assumpt!C49),1)</f>
        <v>19</v>
      </c>
      <c r="G16" s="13">
        <f>CEILING(MIN(G6,Pressupostos_Assumpt!C23)*(1+Pressupostos_Assumpt!C49),1)</f>
        <v>23</v>
      </c>
      <c r="H16" s="13">
        <f>CEILING(MIN(H6,Pressupostos_Assumpt!C23)*(1+Pressupostos_Assumpt!C49),1)</f>
        <v>27</v>
      </c>
      <c r="I16" s="13">
        <f>CEILING(MIN(I6,Pressupostos_Assumpt!C23)*(1+Pressupostos_Assumpt!C49),1)</f>
        <v>29</v>
      </c>
      <c r="J16" s="13">
        <f>CEILING(MIN(J6,Pressupostos_Assumpt!C23)*(1+Pressupostos_Assumpt!C49),1)</f>
        <v>29</v>
      </c>
      <c r="K16" s="13">
        <f>CEILING(MIN(K6,Pressupostos_Assumpt!C23)*(1+Pressupostos_Assumpt!C49),1)</f>
        <v>29</v>
      </c>
      <c r="L16" s="13">
        <f>CEILING(MIN(L6,Pressupostos_Assumpt!C23)*(1+Pressupostos_Assumpt!C49),1)</f>
        <v>29</v>
      </c>
      <c r="M16" s="13">
        <f>CEILING(MIN(M6,Pressupostos_Assumpt!D23)*(1+Pressupostos_Assumpt!D49),1)</f>
        <v>29</v>
      </c>
      <c r="N16" s="13">
        <f>CEILING(MIN(N6,Pressupostos_Assumpt!D23)*(1+Pressupostos_Assumpt!D49),1)</f>
        <v>29</v>
      </c>
      <c r="O16" s="13">
        <f>CEILING(MIN(O6,Pressupostos_Assumpt!D23)*(1+Pressupostos_Assumpt!D49),1)</f>
        <v>29</v>
      </c>
      <c r="P16" s="13">
        <f>CEILING(MIN(P6,Pressupostos_Assumpt!D23)*(1+Pressupostos_Assumpt!D49),1)</f>
        <v>29</v>
      </c>
      <c r="Q16" s="13">
        <f>CEILING(MIN(Q6,Pressupostos_Assumpt!D23)*(1+Pressupostos_Assumpt!D49),1)</f>
        <v>29</v>
      </c>
      <c r="R16" s="13">
        <f>CEILING(MIN(R6,Pressupostos_Assumpt!D23)*(1+Pressupostos_Assumpt!D49),1)</f>
        <v>29</v>
      </c>
      <c r="S16" s="16">
        <f>MAX(C16:L16)</f>
        <v>29</v>
      </c>
      <c r="T16" s="16">
        <f>MAX(M16:R16)</f>
        <v>29</v>
      </c>
    </row>
    <row r="17" spans="2:20" ht="15" customHeight="1" x14ac:dyDescent="0.2">
      <c r="B17" s="2" t="s">
        <v>236</v>
      </c>
      <c r="C17" s="13">
        <f>CEILING(MAX(0,C6-Pressupostos_Assumpt!C23)*(1+Pressupostos_Assumpt!C49),1)</f>
        <v>0</v>
      </c>
      <c r="D17" s="13">
        <f>CEILING(MAX(0,D6-Pressupostos_Assumpt!C23)*(1+Pressupostos_Assumpt!C49),1)</f>
        <v>0</v>
      </c>
      <c r="E17" s="13">
        <f>CEILING(MAX(0,E6-Pressupostos_Assumpt!C23)*(1+Pressupostos_Assumpt!C49),1)</f>
        <v>0</v>
      </c>
      <c r="F17" s="13">
        <f>CEILING(MAX(0,F6-Pressupostos_Assumpt!C23)*(1+Pressupostos_Assumpt!C49),1)</f>
        <v>0</v>
      </c>
      <c r="G17" s="13">
        <f>CEILING(MAX(0,G6-Pressupostos_Assumpt!C23)*(1+Pressupostos_Assumpt!C49),1)</f>
        <v>0</v>
      </c>
      <c r="H17" s="13">
        <f>CEILING(MAX(0,H6-Pressupostos_Assumpt!C23)*(1+Pressupostos_Assumpt!C49),1)</f>
        <v>0</v>
      </c>
      <c r="I17" s="13">
        <f>CEILING(MAX(0,I6-Pressupostos_Assumpt!C23)*(1+Pressupostos_Assumpt!C49),1)</f>
        <v>0</v>
      </c>
      <c r="J17" s="13">
        <f>CEILING(MAX(0,J6-Pressupostos_Assumpt!C23)*(1+Pressupostos_Assumpt!C49),1)</f>
        <v>0</v>
      </c>
      <c r="K17" s="13">
        <f>CEILING(MAX(0,K6-Pressupostos_Assumpt!C23)*(1+Pressupostos_Assumpt!C49),1)</f>
        <v>29</v>
      </c>
      <c r="L17" s="13">
        <f>CEILING(MAX(0,L6-Pressupostos_Assumpt!C23)*(1+Pressupostos_Assumpt!C49),1)</f>
        <v>29</v>
      </c>
      <c r="M17" s="13">
        <f>CEILING(MAX(0,M6-Pressupostos_Assumpt!D23)*(1+Pressupostos_Assumpt!D49),1)</f>
        <v>0</v>
      </c>
      <c r="N17" s="13">
        <f>CEILING(MAX(0,N6-Pressupostos_Assumpt!D23)*(1+Pressupostos_Assumpt!D49),1)</f>
        <v>0</v>
      </c>
      <c r="O17" s="13">
        <f>CEILING(MAX(0,O6-Pressupostos_Assumpt!D23)*(1+Pressupostos_Assumpt!D49),1)</f>
        <v>0</v>
      </c>
      <c r="P17" s="13">
        <f>CEILING(MAX(0,P6-Pressupostos_Assumpt!D23)*(1+Pressupostos_Assumpt!D49),1)</f>
        <v>0</v>
      </c>
      <c r="Q17" s="13">
        <f>CEILING(MAX(0,Q6-Pressupostos_Assumpt!D23)*(1+Pressupostos_Assumpt!D49),1)</f>
        <v>29</v>
      </c>
      <c r="R17" s="13">
        <f>CEILING(MAX(0,R6-Pressupostos_Assumpt!D23)*(1+Pressupostos_Assumpt!D49),1)</f>
        <v>29</v>
      </c>
      <c r="S17" s="16">
        <f>MAX(C17:L17)</f>
        <v>29</v>
      </c>
      <c r="T17" s="16">
        <f>MAX(M17:R17)</f>
        <v>29</v>
      </c>
    </row>
    <row r="18" spans="2:20" ht="21.75" customHeight="1" x14ac:dyDescent="0.2">
      <c r="B18" s="3" t="s">
        <v>237</v>
      </c>
      <c r="C18" s="18">
        <f t="shared" ref="C18:R18" si="3">C16+C17</f>
        <v>6</v>
      </c>
      <c r="D18" s="18">
        <f t="shared" si="3"/>
        <v>10</v>
      </c>
      <c r="E18" s="18">
        <f t="shared" si="3"/>
        <v>14</v>
      </c>
      <c r="F18" s="18">
        <f t="shared" si="3"/>
        <v>19</v>
      </c>
      <c r="G18" s="18">
        <f t="shared" si="3"/>
        <v>23</v>
      </c>
      <c r="H18" s="18">
        <f t="shared" si="3"/>
        <v>27</v>
      </c>
      <c r="I18" s="18">
        <f t="shared" si="3"/>
        <v>29</v>
      </c>
      <c r="J18" s="18">
        <f t="shared" si="3"/>
        <v>29</v>
      </c>
      <c r="K18" s="18">
        <f t="shared" si="3"/>
        <v>58</v>
      </c>
      <c r="L18" s="18">
        <f t="shared" si="3"/>
        <v>58</v>
      </c>
      <c r="M18" s="18">
        <f t="shared" si="3"/>
        <v>29</v>
      </c>
      <c r="N18" s="18">
        <f t="shared" si="3"/>
        <v>29</v>
      </c>
      <c r="O18" s="18">
        <f t="shared" si="3"/>
        <v>29</v>
      </c>
      <c r="P18" s="18">
        <f t="shared" si="3"/>
        <v>29</v>
      </c>
      <c r="Q18" s="18">
        <f t="shared" si="3"/>
        <v>58</v>
      </c>
      <c r="R18" s="18">
        <f t="shared" si="3"/>
        <v>58</v>
      </c>
      <c r="S18" s="19">
        <f>MAX(C18:L18)</f>
        <v>58</v>
      </c>
      <c r="T18" s="19">
        <f>MAX(M18:R18)</f>
        <v>58</v>
      </c>
    </row>
    <row r="21" spans="2:20" ht="15" customHeight="1" x14ac:dyDescent="0.2">
      <c r="B21" s="44" t="s">
        <v>238</v>
      </c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</row>
    <row r="22" spans="2:20" ht="15" customHeight="1" x14ac:dyDescent="0.2">
      <c r="C22" s="47" t="s">
        <v>239</v>
      </c>
      <c r="D22" s="47"/>
      <c r="E22" s="47"/>
      <c r="F22" s="47"/>
      <c r="G22" s="47" t="s">
        <v>240</v>
      </c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</row>
    <row r="23" spans="2:20" ht="24" customHeight="1" x14ac:dyDescent="0.2">
      <c r="B23" s="15" t="s">
        <v>241</v>
      </c>
      <c r="C23" s="12" t="s">
        <v>242</v>
      </c>
      <c r="D23" s="12" t="s">
        <v>243</v>
      </c>
      <c r="E23" s="12" t="s">
        <v>244</v>
      </c>
      <c r="F23" s="12" t="s">
        <v>245</v>
      </c>
      <c r="G23" s="12" t="s">
        <v>246</v>
      </c>
      <c r="H23" s="12" t="s">
        <v>247</v>
      </c>
      <c r="I23" s="12" t="s">
        <v>248</v>
      </c>
      <c r="J23" s="12" t="s">
        <v>249</v>
      </c>
      <c r="K23" s="12" t="s">
        <v>250</v>
      </c>
      <c r="L23" s="12" t="s">
        <v>251</v>
      </c>
      <c r="M23" s="12" t="s">
        <v>252</v>
      </c>
      <c r="N23" s="12" t="s">
        <v>253</v>
      </c>
      <c r="O23" s="12" t="s">
        <v>254</v>
      </c>
      <c r="P23" s="12" t="s">
        <v>255</v>
      </c>
      <c r="Q23" s="12" t="s">
        <v>256</v>
      </c>
      <c r="R23" s="12" t="s">
        <v>257</v>
      </c>
    </row>
    <row r="24" spans="2:20" ht="15" customHeight="1" x14ac:dyDescent="0.2">
      <c r="B24" s="3" t="s">
        <v>228</v>
      </c>
      <c r="C24" s="19">
        <f>C7+D7+E7+F7</f>
        <v>205</v>
      </c>
      <c r="D24" s="19">
        <f>G7+H7+I7+J7</f>
        <v>465</v>
      </c>
      <c r="E24" s="19">
        <f>K7</f>
        <v>1100</v>
      </c>
      <c r="F24" s="19">
        <f>L7</f>
        <v>1100</v>
      </c>
      <c r="G24" s="19">
        <f>(M7)/3</f>
        <v>550</v>
      </c>
      <c r="H24" s="19">
        <f>(M7)/3</f>
        <v>550</v>
      </c>
      <c r="I24" s="19">
        <f>(M7)/3</f>
        <v>550</v>
      </c>
      <c r="J24" s="19">
        <f>(N7)/3</f>
        <v>550</v>
      </c>
      <c r="K24" s="19">
        <f>(N7)/3</f>
        <v>550</v>
      </c>
      <c r="L24" s="19">
        <f>(N7)/3</f>
        <v>550</v>
      </c>
      <c r="M24" s="19">
        <f>(O7)/3</f>
        <v>550</v>
      </c>
      <c r="N24" s="19">
        <f>(O7)/3</f>
        <v>550</v>
      </c>
      <c r="O24" s="19">
        <f>(O7)/3</f>
        <v>550</v>
      </c>
      <c r="P24" s="19">
        <f>P7</f>
        <v>550</v>
      </c>
      <c r="Q24" s="19">
        <f>Q7</f>
        <v>1100</v>
      </c>
      <c r="R24" s="19">
        <f>R7</f>
        <v>1100</v>
      </c>
    </row>
    <row r="25" spans="2:20" ht="15" customHeight="1" x14ac:dyDescent="0.2">
      <c r="B25" s="3" t="s">
        <v>229</v>
      </c>
      <c r="C25" s="19">
        <f>C10+D10+E10+F10</f>
        <v>17630</v>
      </c>
      <c r="D25" s="19">
        <f>G10+H10+I10+J10</f>
        <v>39990</v>
      </c>
      <c r="E25" s="19">
        <f>K10</f>
        <v>99330</v>
      </c>
      <c r="F25" s="19">
        <f>L10</f>
        <v>99330</v>
      </c>
      <c r="G25" s="19">
        <f>(M10)/3</f>
        <v>42570</v>
      </c>
      <c r="H25" s="19">
        <f>(M10)/3</f>
        <v>42570</v>
      </c>
      <c r="I25" s="19">
        <f>(M10)/3</f>
        <v>42570</v>
      </c>
      <c r="J25" s="19">
        <f>(N10)/3</f>
        <v>49665</v>
      </c>
      <c r="K25" s="19">
        <f>(N10)/3</f>
        <v>49665</v>
      </c>
      <c r="L25" s="19">
        <f>(N10)/3</f>
        <v>49665</v>
      </c>
      <c r="M25" s="19">
        <f>(O10)/3</f>
        <v>49665</v>
      </c>
      <c r="N25" s="19">
        <f>(O10)/3</f>
        <v>49665</v>
      </c>
      <c r="O25" s="19">
        <f>(O10)/3</f>
        <v>49665</v>
      </c>
      <c r="P25" s="19">
        <f>P10</f>
        <v>49665</v>
      </c>
      <c r="Q25" s="19">
        <f>Q10</f>
        <v>104060.00000000001</v>
      </c>
      <c r="R25" s="19">
        <f>R10</f>
        <v>104060.00000000001</v>
      </c>
    </row>
    <row r="26" spans="2:20" ht="15" customHeight="1" x14ac:dyDescent="0.2">
      <c r="B26" s="2" t="s">
        <v>258</v>
      </c>
      <c r="C26" s="16">
        <f>MAX(C12,D12,E12,F12)</f>
        <v>19</v>
      </c>
      <c r="D26" s="16">
        <f>MAX(G12,H12,I12,J12)</f>
        <v>29</v>
      </c>
      <c r="E26" s="16">
        <f t="shared" ref="E26:G28" si="4">MAX(K12)</f>
        <v>29</v>
      </c>
      <c r="F26" s="16">
        <f t="shared" si="4"/>
        <v>29</v>
      </c>
      <c r="G26" s="16">
        <f t="shared" si="4"/>
        <v>29</v>
      </c>
      <c r="H26" s="16">
        <f>MAX(M12)</f>
        <v>29</v>
      </c>
      <c r="I26" s="16">
        <f t="shared" ref="I26:J28" si="5">MAX(M12)</f>
        <v>29</v>
      </c>
      <c r="J26" s="16">
        <f t="shared" si="5"/>
        <v>29</v>
      </c>
      <c r="K26" s="16">
        <f>MAX(N12)</f>
        <v>29</v>
      </c>
      <c r="L26" s="16">
        <f t="shared" ref="L26:M28" si="6">MAX(N12)</f>
        <v>29</v>
      </c>
      <c r="M26" s="16">
        <f t="shared" si="6"/>
        <v>29</v>
      </c>
      <c r="N26" s="16">
        <f>MAX(O12)</f>
        <v>29</v>
      </c>
      <c r="O26" s="16">
        <f t="shared" ref="O26:R28" si="7">MAX(O12)</f>
        <v>29</v>
      </c>
      <c r="P26" s="16">
        <f t="shared" si="7"/>
        <v>29</v>
      </c>
      <c r="Q26" s="16">
        <f t="shared" si="7"/>
        <v>29</v>
      </c>
      <c r="R26" s="16">
        <f t="shared" si="7"/>
        <v>29</v>
      </c>
    </row>
    <row r="27" spans="2:20" ht="15" customHeight="1" x14ac:dyDescent="0.2">
      <c r="B27" s="2" t="s">
        <v>259</v>
      </c>
      <c r="C27" s="16">
        <f>MAX(C13,D13,E13,F13)</f>
        <v>0</v>
      </c>
      <c r="D27" s="16">
        <f>MAX(G13,H13,I13,J13)</f>
        <v>0</v>
      </c>
      <c r="E27" s="16">
        <f t="shared" si="4"/>
        <v>29</v>
      </c>
      <c r="F27" s="16">
        <f t="shared" si="4"/>
        <v>29</v>
      </c>
      <c r="G27" s="16">
        <f t="shared" si="4"/>
        <v>0</v>
      </c>
      <c r="H27" s="16">
        <f>MAX(M13)</f>
        <v>0</v>
      </c>
      <c r="I27" s="16">
        <f t="shared" si="5"/>
        <v>0</v>
      </c>
      <c r="J27" s="16">
        <f t="shared" si="5"/>
        <v>0</v>
      </c>
      <c r="K27" s="16">
        <f>MAX(N13)</f>
        <v>0</v>
      </c>
      <c r="L27" s="16">
        <f t="shared" si="6"/>
        <v>0</v>
      </c>
      <c r="M27" s="16">
        <f t="shared" si="6"/>
        <v>0</v>
      </c>
      <c r="N27" s="16">
        <f>MAX(O13)</f>
        <v>0</v>
      </c>
      <c r="O27" s="16">
        <f t="shared" si="7"/>
        <v>0</v>
      </c>
      <c r="P27" s="16">
        <f t="shared" si="7"/>
        <v>0</v>
      </c>
      <c r="Q27" s="16">
        <f t="shared" si="7"/>
        <v>29</v>
      </c>
      <c r="R27" s="16">
        <f t="shared" si="7"/>
        <v>29</v>
      </c>
    </row>
    <row r="28" spans="2:20" ht="15" customHeight="1" x14ac:dyDescent="0.2">
      <c r="B28" s="3" t="s">
        <v>260</v>
      </c>
      <c r="C28" s="19">
        <f>MAX(C14,D14,E14,F14)</f>
        <v>19</v>
      </c>
      <c r="D28" s="19">
        <f>MAX(G14,H14,I14,J14)</f>
        <v>29</v>
      </c>
      <c r="E28" s="19">
        <f t="shared" si="4"/>
        <v>58</v>
      </c>
      <c r="F28" s="19">
        <f t="shared" si="4"/>
        <v>58</v>
      </c>
      <c r="G28" s="19">
        <f t="shared" si="4"/>
        <v>29</v>
      </c>
      <c r="H28" s="19">
        <f>MAX(M14)</f>
        <v>29</v>
      </c>
      <c r="I28" s="19">
        <f t="shared" si="5"/>
        <v>29</v>
      </c>
      <c r="J28" s="19">
        <f t="shared" si="5"/>
        <v>29</v>
      </c>
      <c r="K28" s="19">
        <f>MAX(N14)</f>
        <v>29</v>
      </c>
      <c r="L28" s="19">
        <f t="shared" si="6"/>
        <v>29</v>
      </c>
      <c r="M28" s="19">
        <f t="shared" si="6"/>
        <v>29</v>
      </c>
      <c r="N28" s="19">
        <f>MAX(O14)</f>
        <v>29</v>
      </c>
      <c r="O28" s="19">
        <f t="shared" si="7"/>
        <v>29</v>
      </c>
      <c r="P28" s="19">
        <f t="shared" si="7"/>
        <v>29</v>
      </c>
      <c r="Q28" s="19">
        <f t="shared" si="7"/>
        <v>58</v>
      </c>
      <c r="R28" s="19">
        <f t="shared" si="7"/>
        <v>58</v>
      </c>
    </row>
    <row r="29" spans="2:20" ht="15" customHeight="1" x14ac:dyDescent="0.2">
      <c r="B29" s="2" t="s">
        <v>261</v>
      </c>
      <c r="C29" s="16">
        <f>MAX(C16,D16,E16,F16)</f>
        <v>19</v>
      </c>
      <c r="D29" s="16">
        <f>MAX(G16,H16,I16,J16)</f>
        <v>29</v>
      </c>
      <c r="E29" s="16">
        <f t="shared" ref="E29:G31" si="8">MAX(K16)</f>
        <v>29</v>
      </c>
      <c r="F29" s="16">
        <f t="shared" si="8"/>
        <v>29</v>
      </c>
      <c r="G29" s="16">
        <f t="shared" si="8"/>
        <v>29</v>
      </c>
      <c r="H29" s="16">
        <f>MAX(M16)</f>
        <v>29</v>
      </c>
      <c r="I29" s="16">
        <f t="shared" ref="I29:J31" si="9">MAX(M16)</f>
        <v>29</v>
      </c>
      <c r="J29" s="16">
        <f t="shared" si="9"/>
        <v>29</v>
      </c>
      <c r="K29" s="16">
        <f>MAX(N16)</f>
        <v>29</v>
      </c>
      <c r="L29" s="16">
        <f t="shared" ref="L29:M31" si="10">MAX(N16)</f>
        <v>29</v>
      </c>
      <c r="M29" s="16">
        <f t="shared" si="10"/>
        <v>29</v>
      </c>
      <c r="N29" s="16">
        <f>MAX(O16)</f>
        <v>29</v>
      </c>
      <c r="O29" s="16">
        <f t="shared" ref="O29:R31" si="11">MAX(O16)</f>
        <v>29</v>
      </c>
      <c r="P29" s="16">
        <f t="shared" si="11"/>
        <v>29</v>
      </c>
      <c r="Q29" s="16">
        <f t="shared" si="11"/>
        <v>29</v>
      </c>
      <c r="R29" s="16">
        <f t="shared" si="11"/>
        <v>29</v>
      </c>
    </row>
    <row r="30" spans="2:20" ht="15" customHeight="1" x14ac:dyDescent="0.2">
      <c r="B30" s="2" t="s">
        <v>262</v>
      </c>
      <c r="C30" s="16">
        <f>MAX(C17,D17,E17,F17)</f>
        <v>0</v>
      </c>
      <c r="D30" s="16">
        <f>MAX(G17,H17,I17,J17)</f>
        <v>0</v>
      </c>
      <c r="E30" s="16">
        <f t="shared" si="8"/>
        <v>29</v>
      </c>
      <c r="F30" s="16">
        <f t="shared" si="8"/>
        <v>29</v>
      </c>
      <c r="G30" s="16">
        <f t="shared" si="8"/>
        <v>0</v>
      </c>
      <c r="H30" s="16">
        <f>MAX(M17)</f>
        <v>0</v>
      </c>
      <c r="I30" s="16">
        <f t="shared" si="9"/>
        <v>0</v>
      </c>
      <c r="J30" s="16">
        <f t="shared" si="9"/>
        <v>0</v>
      </c>
      <c r="K30" s="16">
        <f>MAX(N17)</f>
        <v>0</v>
      </c>
      <c r="L30" s="16">
        <f t="shared" si="10"/>
        <v>0</v>
      </c>
      <c r="M30" s="16">
        <f t="shared" si="10"/>
        <v>0</v>
      </c>
      <c r="N30" s="16">
        <f>MAX(O17)</f>
        <v>0</v>
      </c>
      <c r="O30" s="16">
        <f t="shared" si="11"/>
        <v>0</v>
      </c>
      <c r="P30" s="16">
        <f t="shared" si="11"/>
        <v>0</v>
      </c>
      <c r="Q30" s="16">
        <f t="shared" si="11"/>
        <v>29</v>
      </c>
      <c r="R30" s="16">
        <f t="shared" si="11"/>
        <v>29</v>
      </c>
    </row>
    <row r="31" spans="2:20" ht="15" customHeight="1" x14ac:dyDescent="0.2">
      <c r="B31" s="3" t="s">
        <v>263</v>
      </c>
      <c r="C31" s="19">
        <f>MAX(C18,D18,E18,F18)</f>
        <v>19</v>
      </c>
      <c r="D31" s="19">
        <f>MAX(G18,H18,I18,J18)</f>
        <v>29</v>
      </c>
      <c r="E31" s="19">
        <f t="shared" si="8"/>
        <v>58</v>
      </c>
      <c r="F31" s="19">
        <f t="shared" si="8"/>
        <v>58</v>
      </c>
      <c r="G31" s="19">
        <f t="shared" si="8"/>
        <v>29</v>
      </c>
      <c r="H31" s="19">
        <f>MAX(M18)</f>
        <v>29</v>
      </c>
      <c r="I31" s="19">
        <f t="shared" si="9"/>
        <v>29</v>
      </c>
      <c r="J31" s="19">
        <f t="shared" si="9"/>
        <v>29</v>
      </c>
      <c r="K31" s="19">
        <f>MAX(N18)</f>
        <v>29</v>
      </c>
      <c r="L31" s="19">
        <f t="shared" si="10"/>
        <v>29</v>
      </c>
      <c r="M31" s="19">
        <f t="shared" si="10"/>
        <v>29</v>
      </c>
      <c r="N31" s="19">
        <f>MAX(O18)</f>
        <v>29</v>
      </c>
      <c r="O31" s="19">
        <f t="shared" si="11"/>
        <v>29</v>
      </c>
      <c r="P31" s="19">
        <f t="shared" si="11"/>
        <v>29</v>
      </c>
      <c r="Q31" s="19">
        <f t="shared" si="11"/>
        <v>58</v>
      </c>
      <c r="R31" s="19">
        <f t="shared" si="11"/>
        <v>58</v>
      </c>
    </row>
    <row r="34" spans="2:8" ht="15" customHeight="1" x14ac:dyDescent="0.2">
      <c r="B34" s="44" t="s">
        <v>264</v>
      </c>
      <c r="C34" s="44"/>
      <c r="D34" s="44"/>
      <c r="E34" s="44"/>
      <c r="F34" s="44"/>
      <c r="G34" s="44"/>
      <c r="H34" s="44"/>
    </row>
    <row r="35" spans="2:8" ht="15" customHeight="1" x14ac:dyDescent="0.2">
      <c r="C35" s="47" t="s">
        <v>265</v>
      </c>
      <c r="D35" s="47"/>
      <c r="E35" s="47" t="s">
        <v>240</v>
      </c>
      <c r="F35" s="47"/>
      <c r="G35" s="47"/>
      <c r="H35" s="47"/>
    </row>
    <row r="36" spans="2:8" ht="30" customHeight="1" x14ac:dyDescent="0.2">
      <c r="B36" s="15" t="s">
        <v>266</v>
      </c>
      <c r="C36" s="12" t="s">
        <v>267</v>
      </c>
      <c r="D36" s="12" t="s">
        <v>268</v>
      </c>
      <c r="E36" s="12" t="s">
        <v>269</v>
      </c>
      <c r="F36" s="12" t="s">
        <v>270</v>
      </c>
      <c r="G36" s="12" t="s">
        <v>271</v>
      </c>
      <c r="H36" s="12" t="s">
        <v>272</v>
      </c>
    </row>
    <row r="37" spans="2:8" ht="15" customHeight="1" x14ac:dyDescent="0.2">
      <c r="B37" s="3" t="s">
        <v>228</v>
      </c>
      <c r="C37" s="19">
        <f>SUM(C7:F7)</f>
        <v>205</v>
      </c>
      <c r="D37" s="19">
        <f>SUM(G7:L7)</f>
        <v>2665</v>
      </c>
      <c r="E37" s="19">
        <f>SUM(M7:M7)</f>
        <v>1650</v>
      </c>
      <c r="F37" s="19">
        <f>SUM(N7:N7)</f>
        <v>1650</v>
      </c>
      <c r="G37" s="19">
        <f>SUM(O7:O7)</f>
        <v>1650</v>
      </c>
      <c r="H37" s="19">
        <f>SUM(P7:R7)</f>
        <v>2750</v>
      </c>
    </row>
    <row r="38" spans="2:8" ht="15" customHeight="1" x14ac:dyDescent="0.2">
      <c r="B38" s="3" t="s">
        <v>229</v>
      </c>
      <c r="C38" s="19">
        <f>SUM(C10:F10)</f>
        <v>17630</v>
      </c>
      <c r="D38" s="19">
        <f>SUM(G10:L10)</f>
        <v>238650</v>
      </c>
      <c r="E38" s="19">
        <f>SUM(M10:M10)</f>
        <v>127710</v>
      </c>
      <c r="F38" s="19">
        <f>SUM(N10:N10)</f>
        <v>148995</v>
      </c>
      <c r="G38" s="19">
        <f>SUM(O10:O10)</f>
        <v>148995</v>
      </c>
      <c r="H38" s="19">
        <f>SUM(P10:R10)</f>
        <v>257785</v>
      </c>
    </row>
    <row r="39" spans="2:8" ht="15" customHeight="1" x14ac:dyDescent="0.2">
      <c r="B39" s="2" t="s">
        <v>258</v>
      </c>
      <c r="C39" s="16">
        <f>MAX(C12:F12)</f>
        <v>19</v>
      </c>
      <c r="D39" s="16">
        <f>MAX(G12:L12)</f>
        <v>29</v>
      </c>
      <c r="E39" s="16">
        <f t="shared" ref="E39:G41" si="12">MAX(M12:M12)</f>
        <v>29</v>
      </c>
      <c r="F39" s="16">
        <f t="shared" si="12"/>
        <v>29</v>
      </c>
      <c r="G39" s="16">
        <f t="shared" si="12"/>
        <v>29</v>
      </c>
      <c r="H39" s="16">
        <f>MAX(P12:R12)</f>
        <v>29</v>
      </c>
    </row>
    <row r="40" spans="2:8" ht="15" customHeight="1" x14ac:dyDescent="0.2">
      <c r="B40" s="2" t="s">
        <v>259</v>
      </c>
      <c r="C40" s="16">
        <f>MAX(C13:F13)</f>
        <v>0</v>
      </c>
      <c r="D40" s="16">
        <f>MAX(G13:L13)</f>
        <v>29</v>
      </c>
      <c r="E40" s="16">
        <f t="shared" si="12"/>
        <v>0</v>
      </c>
      <c r="F40" s="16">
        <f t="shared" si="12"/>
        <v>0</v>
      </c>
      <c r="G40" s="16">
        <f t="shared" si="12"/>
        <v>0</v>
      </c>
      <c r="H40" s="16">
        <f>MAX(P13:R13)</f>
        <v>29</v>
      </c>
    </row>
    <row r="41" spans="2:8" ht="15" customHeight="1" x14ac:dyDescent="0.2">
      <c r="B41" s="3" t="s">
        <v>260</v>
      </c>
      <c r="C41" s="19">
        <f>MAX(C14:F14)</f>
        <v>19</v>
      </c>
      <c r="D41" s="19">
        <f>MAX(G14:L14)</f>
        <v>58</v>
      </c>
      <c r="E41" s="19">
        <f t="shared" si="12"/>
        <v>29</v>
      </c>
      <c r="F41" s="19">
        <f t="shared" si="12"/>
        <v>29</v>
      </c>
      <c r="G41" s="19">
        <f t="shared" si="12"/>
        <v>29</v>
      </c>
      <c r="H41" s="19">
        <f>MAX(P14:R14)</f>
        <v>58</v>
      </c>
    </row>
    <row r="42" spans="2:8" ht="15" customHeight="1" x14ac:dyDescent="0.2">
      <c r="B42" s="2" t="s">
        <v>261</v>
      </c>
      <c r="C42" s="16">
        <f>MAX(C16:F16)</f>
        <v>19</v>
      </c>
      <c r="D42" s="16">
        <f>MAX(G16:L16)</f>
        <v>29</v>
      </c>
      <c r="E42" s="16">
        <f t="shared" ref="E42:G44" si="13">MAX(M16:M16)</f>
        <v>29</v>
      </c>
      <c r="F42" s="16">
        <f t="shared" si="13"/>
        <v>29</v>
      </c>
      <c r="G42" s="16">
        <f t="shared" si="13"/>
        <v>29</v>
      </c>
      <c r="H42" s="16">
        <f>MAX(P16:R16)</f>
        <v>29</v>
      </c>
    </row>
    <row r="43" spans="2:8" ht="15" customHeight="1" x14ac:dyDescent="0.2">
      <c r="B43" s="2" t="s">
        <v>262</v>
      </c>
      <c r="C43" s="16">
        <f>MAX(C17:F17)</f>
        <v>0</v>
      </c>
      <c r="D43" s="16">
        <f>MAX(G17:L17)</f>
        <v>29</v>
      </c>
      <c r="E43" s="16">
        <f t="shared" si="13"/>
        <v>0</v>
      </c>
      <c r="F43" s="16">
        <f t="shared" si="13"/>
        <v>0</v>
      </c>
      <c r="G43" s="16">
        <f t="shared" si="13"/>
        <v>0</v>
      </c>
      <c r="H43" s="16">
        <f>MAX(P17:R17)</f>
        <v>29</v>
      </c>
    </row>
    <row r="44" spans="2:8" ht="15" customHeight="1" x14ac:dyDescent="0.2">
      <c r="B44" s="3" t="s">
        <v>263</v>
      </c>
      <c r="C44" s="19">
        <f>MAX(C18:F18)</f>
        <v>19</v>
      </c>
      <c r="D44" s="19">
        <f>MAX(G18:L18)</f>
        <v>58</v>
      </c>
      <c r="E44" s="19">
        <f t="shared" si="13"/>
        <v>29</v>
      </c>
      <c r="F44" s="19">
        <f t="shared" si="13"/>
        <v>29</v>
      </c>
      <c r="G44" s="19">
        <f t="shared" si="13"/>
        <v>29</v>
      </c>
      <c r="H44" s="19">
        <f>MAX(P18:R18)</f>
        <v>58</v>
      </c>
    </row>
  </sheetData>
  <mergeCells count="9">
    <mergeCell ref="B34:H34"/>
    <mergeCell ref="C35:D35"/>
    <mergeCell ref="E35:H35"/>
    <mergeCell ref="B1:T1"/>
    <mergeCell ref="C2:L2"/>
    <mergeCell ref="M2:R2"/>
    <mergeCell ref="B21:R21"/>
    <mergeCell ref="C22:F22"/>
    <mergeCell ref="G22:R2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31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M33" sqref="M33"/>
    </sheetView>
  </sheetViews>
  <sheetFormatPr baseColWidth="10" defaultColWidth="8.6640625" defaultRowHeight="15" x14ac:dyDescent="0.2"/>
  <cols>
    <col min="1" max="1" width="2.5" customWidth="1"/>
    <col min="2" max="2" width="44" customWidth="1"/>
    <col min="3" max="18" width="9.5" customWidth="1"/>
    <col min="19" max="20" width="12" customWidth="1"/>
  </cols>
  <sheetData>
    <row r="1" spans="2:20" ht="25.5" customHeight="1" x14ac:dyDescent="0.2">
      <c r="B1" s="45" t="s">
        <v>273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</row>
    <row r="2" spans="2:20" ht="15" customHeight="1" x14ac:dyDescent="0.2">
      <c r="C2" s="47" t="s">
        <v>222</v>
      </c>
      <c r="D2" s="47"/>
      <c r="E2" s="47"/>
      <c r="F2" s="47"/>
      <c r="G2" s="47"/>
      <c r="H2" s="47"/>
      <c r="I2" s="47"/>
      <c r="J2" s="47"/>
      <c r="K2" s="47"/>
      <c r="L2" s="47"/>
      <c r="M2" s="47" t="s">
        <v>223</v>
      </c>
      <c r="N2" s="47"/>
      <c r="O2" s="47"/>
      <c r="P2" s="47"/>
      <c r="Q2" s="47"/>
      <c r="R2" s="47"/>
      <c r="S2" s="47"/>
      <c r="T2" s="47"/>
    </row>
    <row r="3" spans="2:20" ht="33.75" customHeight="1" x14ac:dyDescent="0.2">
      <c r="B3" s="15" t="s">
        <v>224</v>
      </c>
      <c r="C3" s="12" t="s">
        <v>202</v>
      </c>
      <c r="D3" s="12" t="s">
        <v>203</v>
      </c>
      <c r="E3" s="12" t="s">
        <v>204</v>
      </c>
      <c r="F3" s="12" t="s">
        <v>205</v>
      </c>
      <c r="G3" s="12" t="s">
        <v>206</v>
      </c>
      <c r="H3" s="12" t="s">
        <v>207</v>
      </c>
      <c r="I3" s="12" t="s">
        <v>208</v>
      </c>
      <c r="J3" s="12" t="s">
        <v>209</v>
      </c>
      <c r="K3" s="12" t="s">
        <v>210</v>
      </c>
      <c r="L3" s="12" t="s">
        <v>211</v>
      </c>
      <c r="M3" s="12" t="s">
        <v>212</v>
      </c>
      <c r="N3" s="12" t="s">
        <v>213</v>
      </c>
      <c r="O3" s="12" t="s">
        <v>214</v>
      </c>
      <c r="P3" s="12" t="s">
        <v>215</v>
      </c>
      <c r="Q3" s="12" t="s">
        <v>216</v>
      </c>
      <c r="R3" s="12" t="s">
        <v>217</v>
      </c>
      <c r="S3" s="12" t="s">
        <v>225</v>
      </c>
      <c r="T3" s="12" t="s">
        <v>226</v>
      </c>
    </row>
    <row r="4" spans="2:20" ht="15" customHeight="1" x14ac:dyDescent="0.2">
      <c r="B4" s="2" t="s">
        <v>274</v>
      </c>
      <c r="C4" s="21">
        <f>Operacao_Operations!C7*Pressupostos_Assumpt!C8</f>
        <v>4027.5</v>
      </c>
      <c r="D4" s="21">
        <f>Operacao_Operations!D7*Pressupostos_Assumpt!C8</f>
        <v>6444</v>
      </c>
      <c r="E4" s="21">
        <f>Operacao_Operations!E7*Pressupostos_Assumpt!C8</f>
        <v>9666</v>
      </c>
      <c r="F4" s="21">
        <f>Operacao_Operations!F7*Pressupostos_Assumpt!C8</f>
        <v>12888</v>
      </c>
      <c r="G4" s="21">
        <f>Operacao_Operations!G7*Pressupostos_Assumpt!C8</f>
        <v>16110</v>
      </c>
      <c r="H4" s="21">
        <f>Operacao_Operations!H7*Pressupostos_Assumpt!C8</f>
        <v>18526.5</v>
      </c>
      <c r="I4" s="21">
        <f>Operacao_Operations!I7*Pressupostos_Assumpt!C8</f>
        <v>20137.5</v>
      </c>
      <c r="J4" s="21">
        <f>Operacao_Operations!J7*Pressupostos_Assumpt!C8</f>
        <v>20137.5</v>
      </c>
      <c r="K4" s="21">
        <f>Operacao_Operations!K7*Pressupostos_Assumpt!C8</f>
        <v>177210</v>
      </c>
      <c r="L4" s="21">
        <f>Operacao_Operations!L7*Pressupostos_Assumpt!C8</f>
        <v>177210</v>
      </c>
      <c r="M4" s="21">
        <f>Operacao_Operations!M7*Pressupostos_Assumpt!D8</f>
        <v>265815</v>
      </c>
      <c r="N4" s="21">
        <f>Operacao_Operations!N7*Pressupostos_Assumpt!D8</f>
        <v>265815</v>
      </c>
      <c r="O4" s="21">
        <f>Operacao_Operations!O7*Pressupostos_Assumpt!D8</f>
        <v>265815</v>
      </c>
      <c r="P4" s="21">
        <f>Operacao_Operations!P7*Pressupostos_Assumpt!D8</f>
        <v>88605</v>
      </c>
      <c r="Q4" s="21">
        <f>Operacao_Operations!Q7*Pressupostos_Assumpt!D8</f>
        <v>177210</v>
      </c>
      <c r="R4" s="21">
        <f>Operacao_Operations!R7*Pressupostos_Assumpt!D8</f>
        <v>177210</v>
      </c>
      <c r="S4" s="21">
        <f t="shared" ref="S4:S9" si="0">C4+D4+E4+F4+G4+H4+I4+J4+K4+L4</f>
        <v>462357</v>
      </c>
      <c r="T4" s="21">
        <f t="shared" ref="T4:T9" si="1">M4+N4+O4+P4+Q4+R4</f>
        <v>1240470</v>
      </c>
    </row>
    <row r="5" spans="2:20" ht="15" customHeight="1" x14ac:dyDescent="0.2">
      <c r="B5" s="2" t="s">
        <v>275</v>
      </c>
      <c r="C5" s="21">
        <f>Operacao_Operations!C10*Pressupostos_Assumpt!C11</f>
        <v>172</v>
      </c>
      <c r="D5" s="21">
        <f>Operacao_Operations!D10*Pressupostos_Assumpt!C11</f>
        <v>275.2</v>
      </c>
      <c r="E5" s="21">
        <f>Operacao_Operations!E10*Pressupostos_Assumpt!C11</f>
        <v>412.8</v>
      </c>
      <c r="F5" s="21">
        <f>Operacao_Operations!F10*Pressupostos_Assumpt!C11</f>
        <v>550.4</v>
      </c>
      <c r="G5" s="21">
        <f>Operacao_Operations!G10*Pressupostos_Assumpt!C11</f>
        <v>688</v>
      </c>
      <c r="H5" s="21">
        <f>Operacao_Operations!H10*Pressupostos_Assumpt!C11</f>
        <v>791.2</v>
      </c>
      <c r="I5" s="21">
        <f>Operacao_Operations!I10*Pressupostos_Assumpt!C11</f>
        <v>860</v>
      </c>
      <c r="J5" s="21">
        <f>Operacao_Operations!J10*Pressupostos_Assumpt!C11</f>
        <v>860</v>
      </c>
      <c r="K5" s="21">
        <f>Operacao_Operations!K10*Pressupostos_Assumpt!C11</f>
        <v>7946.4000000000005</v>
      </c>
      <c r="L5" s="21">
        <f>Operacao_Operations!L10*Pressupostos_Assumpt!C11</f>
        <v>7946.4000000000005</v>
      </c>
      <c r="M5" s="21">
        <f>Operacao_Operations!M10*Pressupostos_Assumpt!D11</f>
        <v>5108.4000000000005</v>
      </c>
      <c r="N5" s="21">
        <f>Operacao_Operations!N10*Pressupostos_Assumpt!D11</f>
        <v>5959.8</v>
      </c>
      <c r="O5" s="21">
        <f>Operacao_Operations!O10*Pressupostos_Assumpt!D11</f>
        <v>5959.8</v>
      </c>
      <c r="P5" s="21">
        <f>Operacao_Operations!P10*Pressupostos_Assumpt!D11</f>
        <v>1986.6000000000001</v>
      </c>
      <c r="Q5" s="21">
        <f>Operacao_Operations!Q10*Pressupostos_Assumpt!D11</f>
        <v>4162.4000000000005</v>
      </c>
      <c r="R5" s="21">
        <f>Operacao_Operations!R10*Pressupostos_Assumpt!D11</f>
        <v>4162.4000000000005</v>
      </c>
      <c r="S5" s="21">
        <f t="shared" si="0"/>
        <v>20502.400000000001</v>
      </c>
      <c r="T5" s="21">
        <f t="shared" si="1"/>
        <v>27339.4</v>
      </c>
    </row>
    <row r="6" spans="2:20" ht="15" customHeight="1" x14ac:dyDescent="0.2">
      <c r="B6" s="2" t="s">
        <v>276</v>
      </c>
      <c r="C6" s="21">
        <f>Operacao_Operations!C7*Pressupostos_Assumpt!C16</f>
        <v>288.75</v>
      </c>
      <c r="D6" s="21">
        <f>Operacao_Operations!D7*Pressupostos_Assumpt!C16</f>
        <v>462</v>
      </c>
      <c r="E6" s="21">
        <f>Operacao_Operations!E7*Pressupostos_Assumpt!C16</f>
        <v>693</v>
      </c>
      <c r="F6" s="21">
        <f>Operacao_Operations!F7*Pressupostos_Assumpt!C16</f>
        <v>924</v>
      </c>
      <c r="G6" s="21">
        <f>Operacao_Operations!G7*Pressupostos_Assumpt!C16</f>
        <v>1155</v>
      </c>
      <c r="H6" s="21">
        <f>Operacao_Operations!H7*Pressupostos_Assumpt!C16</f>
        <v>1328.25</v>
      </c>
      <c r="I6" s="21">
        <f>Operacao_Operations!I7*Pressupostos_Assumpt!C16</f>
        <v>1443.75</v>
      </c>
      <c r="J6" s="21">
        <f>Operacao_Operations!J7*Pressupostos_Assumpt!C16</f>
        <v>1443.75</v>
      </c>
      <c r="K6" s="21">
        <f>Operacao_Operations!K7*Pressupostos_Assumpt!C16</f>
        <v>12705</v>
      </c>
      <c r="L6" s="21">
        <f>Operacao_Operations!L7*Pressupostos_Assumpt!C16</f>
        <v>12705</v>
      </c>
      <c r="M6" s="21">
        <f>Operacao_Operations!M7*Pressupostos_Assumpt!D16</f>
        <v>19635.000000000004</v>
      </c>
      <c r="N6" s="21">
        <f>Operacao_Operations!N7*Pressupostos_Assumpt!D16</f>
        <v>19635.000000000004</v>
      </c>
      <c r="O6" s="21">
        <f>Operacao_Operations!O7*Pressupostos_Assumpt!D16</f>
        <v>19635.000000000004</v>
      </c>
      <c r="P6" s="21">
        <f>Operacao_Operations!P7*Pressupostos_Assumpt!D16</f>
        <v>6545.0000000000009</v>
      </c>
      <c r="Q6" s="21">
        <f>Operacao_Operations!Q7*Pressupostos_Assumpt!D16</f>
        <v>13090.000000000002</v>
      </c>
      <c r="R6" s="21">
        <f>Operacao_Operations!R7*Pressupostos_Assumpt!D16</f>
        <v>13090.000000000002</v>
      </c>
      <c r="S6" s="21">
        <f t="shared" si="0"/>
        <v>33148.5</v>
      </c>
      <c r="T6" s="21">
        <f t="shared" si="1"/>
        <v>91630.000000000015</v>
      </c>
    </row>
    <row r="7" spans="2:20" ht="15" customHeight="1" x14ac:dyDescent="0.2">
      <c r="B7" s="2" t="s">
        <v>277</v>
      </c>
      <c r="C7" s="21">
        <f>Operacao_Operations!C7*Pressupostos_Assumpt!C17</f>
        <v>87.5</v>
      </c>
      <c r="D7" s="21">
        <f>Operacao_Operations!D7*Pressupostos_Assumpt!C17</f>
        <v>140</v>
      </c>
      <c r="E7" s="21">
        <f>Operacao_Operations!E7*Pressupostos_Assumpt!C17</f>
        <v>210</v>
      </c>
      <c r="F7" s="21">
        <f>Operacao_Operations!F7*Pressupostos_Assumpt!C17</f>
        <v>280</v>
      </c>
      <c r="G7" s="21">
        <f>Operacao_Operations!G7*Pressupostos_Assumpt!C17</f>
        <v>350</v>
      </c>
      <c r="H7" s="21">
        <f>Operacao_Operations!H7*Pressupostos_Assumpt!C17</f>
        <v>402.5</v>
      </c>
      <c r="I7" s="21">
        <f>Operacao_Operations!I7*Pressupostos_Assumpt!C17</f>
        <v>437.5</v>
      </c>
      <c r="J7" s="21">
        <f>Operacao_Operations!J7*Pressupostos_Assumpt!C17</f>
        <v>437.5</v>
      </c>
      <c r="K7" s="21">
        <f>Operacao_Operations!K7*Pressupostos_Assumpt!C17</f>
        <v>3850</v>
      </c>
      <c r="L7" s="21">
        <f>Operacao_Operations!L7*Pressupostos_Assumpt!C17</f>
        <v>3850</v>
      </c>
      <c r="M7" s="21">
        <f>Operacao_Operations!M7*Pressupostos_Assumpt!D17</f>
        <v>5775</v>
      </c>
      <c r="N7" s="21">
        <f>Operacao_Operations!N7*Pressupostos_Assumpt!D17</f>
        <v>5775</v>
      </c>
      <c r="O7" s="21">
        <f>Operacao_Operations!O7*Pressupostos_Assumpt!D17</f>
        <v>5775</v>
      </c>
      <c r="P7" s="21">
        <f>Operacao_Operations!P7*Pressupostos_Assumpt!D17</f>
        <v>1925</v>
      </c>
      <c r="Q7" s="21">
        <f>Operacao_Operations!Q7*Pressupostos_Assumpt!D17</f>
        <v>3850</v>
      </c>
      <c r="R7" s="21">
        <f>Operacao_Operations!R7*Pressupostos_Assumpt!D17</f>
        <v>3850</v>
      </c>
      <c r="S7" s="21">
        <f t="shared" si="0"/>
        <v>10045</v>
      </c>
      <c r="T7" s="21">
        <f t="shared" si="1"/>
        <v>26950</v>
      </c>
    </row>
    <row r="8" spans="2:20" ht="15" customHeight="1" x14ac:dyDescent="0.2">
      <c r="B8" s="2" t="s">
        <v>278</v>
      </c>
      <c r="C8" s="21">
        <f>Pressupostos_Assumpt!C18*Operacao_Operations!C5</f>
        <v>113.63636363636363</v>
      </c>
      <c r="D8" s="21">
        <f>Pressupostos_Assumpt!C18*Operacao_Operations!D5</f>
        <v>113.63636363636363</v>
      </c>
      <c r="E8" s="21">
        <f>Pressupostos_Assumpt!C18*Operacao_Operations!E5</f>
        <v>113.63636363636363</v>
      </c>
      <c r="F8" s="21">
        <f>Pressupostos_Assumpt!C18*Operacao_Operations!F5</f>
        <v>113.63636363636363</v>
      </c>
      <c r="G8" s="21">
        <f>Pressupostos_Assumpt!C18*Operacao_Operations!G5</f>
        <v>113.63636363636363</v>
      </c>
      <c r="H8" s="21">
        <f>Pressupostos_Assumpt!C18*Operacao_Operations!H5</f>
        <v>113.63636363636363</v>
      </c>
      <c r="I8" s="21">
        <f>Pressupostos_Assumpt!C18*Operacao_Operations!I5</f>
        <v>113.63636363636363</v>
      </c>
      <c r="J8" s="21">
        <f>Pressupostos_Assumpt!C18*Operacao_Operations!J5</f>
        <v>113.63636363636363</v>
      </c>
      <c r="K8" s="21">
        <f>Pressupostos_Assumpt!C18*Operacao_Operations!K5</f>
        <v>500</v>
      </c>
      <c r="L8" s="21">
        <f>Pressupostos_Assumpt!C18*Operacao_Operations!L5</f>
        <v>500</v>
      </c>
      <c r="M8" s="21">
        <f>Pressupostos_Assumpt!D18*Operacao_Operations!M5</f>
        <v>1500</v>
      </c>
      <c r="N8" s="21">
        <f>Pressupostos_Assumpt!D18*Operacao_Operations!N5</f>
        <v>1500</v>
      </c>
      <c r="O8" s="21">
        <f>Pressupostos_Assumpt!D18*Operacao_Operations!O5</f>
        <v>1500</v>
      </c>
      <c r="P8" s="21">
        <f>Pressupostos_Assumpt!D18*Operacao_Operations!P5</f>
        <v>500</v>
      </c>
      <c r="Q8" s="21">
        <f>Pressupostos_Assumpt!D18*Operacao_Operations!Q5</f>
        <v>500</v>
      </c>
      <c r="R8" s="21">
        <f>Pressupostos_Assumpt!D18*Operacao_Operations!R5</f>
        <v>500</v>
      </c>
      <c r="S8" s="21">
        <f t="shared" si="0"/>
        <v>1909.090909090909</v>
      </c>
      <c r="T8" s="21">
        <f t="shared" si="1"/>
        <v>6000</v>
      </c>
    </row>
    <row r="9" spans="2:20" ht="15" customHeight="1" x14ac:dyDescent="0.2">
      <c r="B9" s="3" t="s">
        <v>279</v>
      </c>
      <c r="C9" s="22">
        <f t="shared" ref="C9:R9" si="2">SUM(C4:C8)</f>
        <v>4689.386363636364</v>
      </c>
      <c r="D9" s="22">
        <f t="shared" si="2"/>
        <v>7434.8363636363638</v>
      </c>
      <c r="E9" s="22">
        <f t="shared" si="2"/>
        <v>11095.436363636363</v>
      </c>
      <c r="F9" s="22">
        <f t="shared" si="2"/>
        <v>14756.036363636364</v>
      </c>
      <c r="G9" s="22">
        <f t="shared" si="2"/>
        <v>18416.636363636364</v>
      </c>
      <c r="H9" s="22">
        <f t="shared" si="2"/>
        <v>21162.086363636365</v>
      </c>
      <c r="I9" s="22">
        <f t="shared" si="2"/>
        <v>22992.386363636364</v>
      </c>
      <c r="J9" s="22">
        <f t="shared" si="2"/>
        <v>22992.386363636364</v>
      </c>
      <c r="K9" s="22">
        <f t="shared" si="2"/>
        <v>202211.4</v>
      </c>
      <c r="L9" s="22">
        <f t="shared" si="2"/>
        <v>202211.4</v>
      </c>
      <c r="M9" s="22">
        <f t="shared" si="2"/>
        <v>297833.40000000002</v>
      </c>
      <c r="N9" s="22">
        <f t="shared" si="2"/>
        <v>298684.79999999999</v>
      </c>
      <c r="O9" s="22">
        <f t="shared" si="2"/>
        <v>298684.79999999999</v>
      </c>
      <c r="P9" s="22">
        <f t="shared" si="2"/>
        <v>99561.600000000006</v>
      </c>
      <c r="Q9" s="22">
        <f t="shared" si="2"/>
        <v>198812.4</v>
      </c>
      <c r="R9" s="22">
        <f t="shared" si="2"/>
        <v>198812.4</v>
      </c>
      <c r="S9" s="22">
        <f t="shared" si="0"/>
        <v>527961.99090909096</v>
      </c>
      <c r="T9" s="22">
        <f t="shared" si="1"/>
        <v>1392389.4</v>
      </c>
    </row>
    <row r="12" spans="2:20" ht="15" customHeight="1" x14ac:dyDescent="0.2">
      <c r="B12" s="44" t="s">
        <v>238</v>
      </c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</row>
    <row r="13" spans="2:20" ht="15" customHeight="1" x14ac:dyDescent="0.2">
      <c r="C13" s="47" t="s">
        <v>239</v>
      </c>
      <c r="D13" s="47"/>
      <c r="E13" s="47"/>
      <c r="F13" s="47"/>
      <c r="G13" s="47" t="s">
        <v>240</v>
      </c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</row>
    <row r="14" spans="2:20" ht="24" customHeight="1" x14ac:dyDescent="0.2">
      <c r="B14" s="15" t="s">
        <v>241</v>
      </c>
      <c r="C14" s="12" t="s">
        <v>242</v>
      </c>
      <c r="D14" s="12" t="s">
        <v>243</v>
      </c>
      <c r="E14" s="12" t="s">
        <v>244</v>
      </c>
      <c r="F14" s="12" t="s">
        <v>245</v>
      </c>
      <c r="G14" s="12" t="s">
        <v>246</v>
      </c>
      <c r="H14" s="12" t="s">
        <v>247</v>
      </c>
      <c r="I14" s="12" t="s">
        <v>248</v>
      </c>
      <c r="J14" s="12" t="s">
        <v>249</v>
      </c>
      <c r="K14" s="12" t="s">
        <v>250</v>
      </c>
      <c r="L14" s="12" t="s">
        <v>251</v>
      </c>
      <c r="M14" s="12" t="s">
        <v>252</v>
      </c>
      <c r="N14" s="12" t="s">
        <v>253</v>
      </c>
      <c r="O14" s="12" t="s">
        <v>254</v>
      </c>
      <c r="P14" s="12" t="s">
        <v>255</v>
      </c>
      <c r="Q14" s="12" t="s">
        <v>256</v>
      </c>
      <c r="R14" s="12" t="s">
        <v>257</v>
      </c>
    </row>
    <row r="15" spans="2:20" ht="15" customHeight="1" x14ac:dyDescent="0.2">
      <c r="B15" s="2" t="s">
        <v>280</v>
      </c>
      <c r="C15" s="21">
        <f t="shared" ref="C15:C20" si="3">C4+D4+E4+F4</f>
        <v>33025.5</v>
      </c>
      <c r="D15" s="21">
        <f t="shared" ref="D15:D20" si="4">G4+H4+I4+J4</f>
        <v>74911.5</v>
      </c>
      <c r="E15" s="21">
        <f t="shared" ref="E15:F20" si="5">K4</f>
        <v>177210</v>
      </c>
      <c r="F15" s="21">
        <f t="shared" si="5"/>
        <v>177210</v>
      </c>
      <c r="G15" s="21">
        <f t="shared" ref="G15:G20" si="6">(M4)/3</f>
        <v>88605</v>
      </c>
      <c r="H15" s="21">
        <f t="shared" ref="H15:H20" si="7">(M4)/3</f>
        <v>88605</v>
      </c>
      <c r="I15" s="21">
        <f t="shared" ref="I15:J20" si="8">(M4)/3</f>
        <v>88605</v>
      </c>
      <c r="J15" s="21">
        <f t="shared" si="8"/>
        <v>88605</v>
      </c>
      <c r="K15" s="21">
        <f t="shared" ref="K15:K20" si="9">(N4)/3</f>
        <v>88605</v>
      </c>
      <c r="L15" s="21">
        <f t="shared" ref="L15:M20" si="10">(N4)/3</f>
        <v>88605</v>
      </c>
      <c r="M15" s="21">
        <f t="shared" si="10"/>
        <v>88605</v>
      </c>
      <c r="N15" s="21">
        <f t="shared" ref="N15:N20" si="11">(O4)/3</f>
        <v>88605</v>
      </c>
      <c r="O15" s="21">
        <f t="shared" ref="O15:O20" si="12">(O4)/3</f>
        <v>88605</v>
      </c>
      <c r="P15" s="21">
        <f t="shared" ref="P15:R20" si="13">P4</f>
        <v>88605</v>
      </c>
      <c r="Q15" s="21">
        <f t="shared" si="13"/>
        <v>177210</v>
      </c>
      <c r="R15" s="21">
        <f t="shared" si="13"/>
        <v>177210</v>
      </c>
    </row>
    <row r="16" spans="2:20" ht="15" customHeight="1" x14ac:dyDescent="0.2">
      <c r="B16" s="2" t="s">
        <v>281</v>
      </c>
      <c r="C16" s="21">
        <f t="shared" si="3"/>
        <v>1410.4</v>
      </c>
      <c r="D16" s="21">
        <f t="shared" si="4"/>
        <v>3199.2</v>
      </c>
      <c r="E16" s="21">
        <f t="shared" si="5"/>
        <v>7946.4000000000005</v>
      </c>
      <c r="F16" s="21">
        <f t="shared" si="5"/>
        <v>7946.4000000000005</v>
      </c>
      <c r="G16" s="21">
        <f t="shared" si="6"/>
        <v>1702.8000000000002</v>
      </c>
      <c r="H16" s="21">
        <f t="shared" si="7"/>
        <v>1702.8000000000002</v>
      </c>
      <c r="I16" s="21">
        <f t="shared" si="8"/>
        <v>1702.8000000000002</v>
      </c>
      <c r="J16" s="21">
        <f t="shared" si="8"/>
        <v>1986.6000000000001</v>
      </c>
      <c r="K16" s="21">
        <f t="shared" si="9"/>
        <v>1986.6000000000001</v>
      </c>
      <c r="L16" s="21">
        <f t="shared" si="10"/>
        <v>1986.6000000000001</v>
      </c>
      <c r="M16" s="21">
        <f t="shared" si="10"/>
        <v>1986.6000000000001</v>
      </c>
      <c r="N16" s="21">
        <f t="shared" si="11"/>
        <v>1986.6000000000001</v>
      </c>
      <c r="O16" s="21">
        <f t="shared" si="12"/>
        <v>1986.6000000000001</v>
      </c>
      <c r="P16" s="21">
        <f t="shared" si="13"/>
        <v>1986.6000000000001</v>
      </c>
      <c r="Q16" s="21">
        <f t="shared" si="13"/>
        <v>4162.4000000000005</v>
      </c>
      <c r="R16" s="21">
        <f t="shared" si="13"/>
        <v>4162.4000000000005</v>
      </c>
    </row>
    <row r="17" spans="2:18" ht="15" customHeight="1" x14ac:dyDescent="0.2">
      <c r="B17" s="2" t="s">
        <v>282</v>
      </c>
      <c r="C17" s="21">
        <f t="shared" si="3"/>
        <v>2367.75</v>
      </c>
      <c r="D17" s="21">
        <f t="shared" si="4"/>
        <v>5370.75</v>
      </c>
      <c r="E17" s="21">
        <f t="shared" si="5"/>
        <v>12705</v>
      </c>
      <c r="F17" s="21">
        <f t="shared" si="5"/>
        <v>12705</v>
      </c>
      <c r="G17" s="21">
        <f t="shared" si="6"/>
        <v>6545.0000000000009</v>
      </c>
      <c r="H17" s="21">
        <f t="shared" si="7"/>
        <v>6545.0000000000009</v>
      </c>
      <c r="I17" s="21">
        <f t="shared" si="8"/>
        <v>6545.0000000000009</v>
      </c>
      <c r="J17" s="21">
        <f t="shared" si="8"/>
        <v>6545.0000000000009</v>
      </c>
      <c r="K17" s="21">
        <f t="shared" si="9"/>
        <v>6545.0000000000009</v>
      </c>
      <c r="L17" s="21">
        <f t="shared" si="10"/>
        <v>6545.0000000000009</v>
      </c>
      <c r="M17" s="21">
        <f t="shared" si="10"/>
        <v>6545.0000000000009</v>
      </c>
      <c r="N17" s="21">
        <f t="shared" si="11"/>
        <v>6545.0000000000009</v>
      </c>
      <c r="O17" s="21">
        <f t="shared" si="12"/>
        <v>6545.0000000000009</v>
      </c>
      <c r="P17" s="21">
        <f t="shared" si="13"/>
        <v>6545.0000000000009</v>
      </c>
      <c r="Q17" s="21">
        <f t="shared" si="13"/>
        <v>13090.000000000002</v>
      </c>
      <c r="R17" s="21">
        <f t="shared" si="13"/>
        <v>13090.000000000002</v>
      </c>
    </row>
    <row r="18" spans="2:18" ht="15" customHeight="1" x14ac:dyDescent="0.2">
      <c r="B18" s="2" t="s">
        <v>283</v>
      </c>
      <c r="C18" s="21">
        <f t="shared" si="3"/>
        <v>717.5</v>
      </c>
      <c r="D18" s="21">
        <f t="shared" si="4"/>
        <v>1627.5</v>
      </c>
      <c r="E18" s="21">
        <f t="shared" si="5"/>
        <v>3850</v>
      </c>
      <c r="F18" s="21">
        <f t="shared" si="5"/>
        <v>3850</v>
      </c>
      <c r="G18" s="21">
        <f t="shared" si="6"/>
        <v>1925</v>
      </c>
      <c r="H18" s="21">
        <f t="shared" si="7"/>
        <v>1925</v>
      </c>
      <c r="I18" s="21">
        <f t="shared" si="8"/>
        <v>1925</v>
      </c>
      <c r="J18" s="21">
        <f t="shared" si="8"/>
        <v>1925</v>
      </c>
      <c r="K18" s="21">
        <f t="shared" si="9"/>
        <v>1925</v>
      </c>
      <c r="L18" s="21">
        <f t="shared" si="10"/>
        <v>1925</v>
      </c>
      <c r="M18" s="21">
        <f t="shared" si="10"/>
        <v>1925</v>
      </c>
      <c r="N18" s="21">
        <f t="shared" si="11"/>
        <v>1925</v>
      </c>
      <c r="O18" s="21">
        <f t="shared" si="12"/>
        <v>1925</v>
      </c>
      <c r="P18" s="21">
        <f t="shared" si="13"/>
        <v>1925</v>
      </c>
      <c r="Q18" s="21">
        <f t="shared" si="13"/>
        <v>3850</v>
      </c>
      <c r="R18" s="21">
        <f t="shared" si="13"/>
        <v>3850</v>
      </c>
    </row>
    <row r="19" spans="2:18" ht="15" customHeight="1" x14ac:dyDescent="0.2">
      <c r="B19" s="2" t="s">
        <v>284</v>
      </c>
      <c r="C19" s="21">
        <f t="shared" si="3"/>
        <v>454.5454545454545</v>
      </c>
      <c r="D19" s="21">
        <f t="shared" si="4"/>
        <v>454.5454545454545</v>
      </c>
      <c r="E19" s="21">
        <f t="shared" si="5"/>
        <v>500</v>
      </c>
      <c r="F19" s="21">
        <f t="shared" si="5"/>
        <v>500</v>
      </c>
      <c r="G19" s="21">
        <f t="shared" si="6"/>
        <v>500</v>
      </c>
      <c r="H19" s="21">
        <f t="shared" si="7"/>
        <v>500</v>
      </c>
      <c r="I19" s="21">
        <f t="shared" si="8"/>
        <v>500</v>
      </c>
      <c r="J19" s="21">
        <f t="shared" si="8"/>
        <v>500</v>
      </c>
      <c r="K19" s="21">
        <f t="shared" si="9"/>
        <v>500</v>
      </c>
      <c r="L19" s="21">
        <f t="shared" si="10"/>
        <v>500</v>
      </c>
      <c r="M19" s="21">
        <f t="shared" si="10"/>
        <v>500</v>
      </c>
      <c r="N19" s="21">
        <f t="shared" si="11"/>
        <v>500</v>
      </c>
      <c r="O19" s="21">
        <f t="shared" si="12"/>
        <v>500</v>
      </c>
      <c r="P19" s="21">
        <f t="shared" si="13"/>
        <v>500</v>
      </c>
      <c r="Q19" s="21">
        <f t="shared" si="13"/>
        <v>500</v>
      </c>
      <c r="R19" s="21">
        <f t="shared" si="13"/>
        <v>500</v>
      </c>
    </row>
    <row r="20" spans="2:18" ht="15" customHeight="1" x14ac:dyDescent="0.2">
      <c r="B20" s="3" t="s">
        <v>279</v>
      </c>
      <c r="C20" s="22">
        <f t="shared" si="3"/>
        <v>37975.695454545457</v>
      </c>
      <c r="D20" s="22">
        <f t="shared" si="4"/>
        <v>85563.495454545468</v>
      </c>
      <c r="E20" s="22">
        <f t="shared" si="5"/>
        <v>202211.4</v>
      </c>
      <c r="F20" s="22">
        <f t="shared" si="5"/>
        <v>202211.4</v>
      </c>
      <c r="G20" s="22">
        <f t="shared" si="6"/>
        <v>99277.8</v>
      </c>
      <c r="H20" s="22">
        <f t="shared" si="7"/>
        <v>99277.8</v>
      </c>
      <c r="I20" s="22">
        <f t="shared" si="8"/>
        <v>99277.8</v>
      </c>
      <c r="J20" s="22">
        <f t="shared" si="8"/>
        <v>99561.599999999991</v>
      </c>
      <c r="K20" s="22">
        <f t="shared" si="9"/>
        <v>99561.599999999991</v>
      </c>
      <c r="L20" s="22">
        <f t="shared" si="10"/>
        <v>99561.599999999991</v>
      </c>
      <c r="M20" s="22">
        <f t="shared" si="10"/>
        <v>99561.599999999991</v>
      </c>
      <c r="N20" s="22">
        <f t="shared" si="11"/>
        <v>99561.599999999991</v>
      </c>
      <c r="O20" s="22">
        <f t="shared" si="12"/>
        <v>99561.599999999991</v>
      </c>
      <c r="P20" s="22">
        <f t="shared" si="13"/>
        <v>99561.600000000006</v>
      </c>
      <c r="Q20" s="22">
        <f t="shared" si="13"/>
        <v>198812.4</v>
      </c>
      <c r="R20" s="22">
        <f t="shared" si="13"/>
        <v>198812.4</v>
      </c>
    </row>
    <row r="23" spans="2:18" ht="15" customHeight="1" x14ac:dyDescent="0.2">
      <c r="B23" s="44" t="s">
        <v>264</v>
      </c>
      <c r="C23" s="44"/>
      <c r="D23" s="44"/>
      <c r="E23" s="44"/>
      <c r="F23" s="44"/>
      <c r="G23" s="44"/>
      <c r="H23" s="44"/>
    </row>
    <row r="24" spans="2:18" ht="15" customHeight="1" x14ac:dyDescent="0.2">
      <c r="C24" s="47" t="s">
        <v>265</v>
      </c>
      <c r="D24" s="47"/>
      <c r="E24" s="47" t="s">
        <v>240</v>
      </c>
      <c r="F24" s="47"/>
      <c r="G24" s="47"/>
      <c r="H24" s="47"/>
    </row>
    <row r="25" spans="2:18" ht="38" customHeight="1" x14ac:dyDescent="0.2">
      <c r="B25" s="15" t="s">
        <v>266</v>
      </c>
      <c r="C25" s="12" t="s">
        <v>267</v>
      </c>
      <c r="D25" s="12" t="s">
        <v>268</v>
      </c>
      <c r="E25" s="12" t="s">
        <v>269</v>
      </c>
      <c r="F25" s="12" t="s">
        <v>270</v>
      </c>
      <c r="G25" s="12" t="s">
        <v>271</v>
      </c>
      <c r="H25" s="12" t="s">
        <v>272</v>
      </c>
    </row>
    <row r="26" spans="2:18" ht="15" customHeight="1" x14ac:dyDescent="0.2">
      <c r="B26" s="2" t="s">
        <v>280</v>
      </c>
      <c r="C26" s="21">
        <f t="shared" ref="C26:C31" si="14">SUM(C4:F4)</f>
        <v>33025.5</v>
      </c>
      <c r="D26" s="21">
        <f t="shared" ref="D26:D31" si="15">SUM(G4:L4)</f>
        <v>429331.5</v>
      </c>
      <c r="E26" s="21">
        <f t="shared" ref="E26:G31" si="16">SUM(M4:M4)</f>
        <v>265815</v>
      </c>
      <c r="F26" s="21">
        <f t="shared" si="16"/>
        <v>265815</v>
      </c>
      <c r="G26" s="21">
        <f t="shared" si="16"/>
        <v>265815</v>
      </c>
      <c r="H26" s="21">
        <f t="shared" ref="H26:H31" si="17">SUM(P4:R4)</f>
        <v>443025</v>
      </c>
    </row>
    <row r="27" spans="2:18" ht="15" customHeight="1" x14ac:dyDescent="0.2">
      <c r="B27" s="2" t="s">
        <v>281</v>
      </c>
      <c r="C27" s="21">
        <f t="shared" si="14"/>
        <v>1410.4</v>
      </c>
      <c r="D27" s="21">
        <f t="shared" si="15"/>
        <v>19092</v>
      </c>
      <c r="E27" s="21">
        <f t="shared" si="16"/>
        <v>5108.4000000000005</v>
      </c>
      <c r="F27" s="21">
        <f t="shared" si="16"/>
        <v>5959.8</v>
      </c>
      <c r="G27" s="21">
        <f t="shared" si="16"/>
        <v>5959.8</v>
      </c>
      <c r="H27" s="21">
        <f t="shared" si="17"/>
        <v>10311.400000000001</v>
      </c>
    </row>
    <row r="28" spans="2:18" ht="15" customHeight="1" x14ac:dyDescent="0.2">
      <c r="B28" s="2" t="s">
        <v>282</v>
      </c>
      <c r="C28" s="21">
        <f t="shared" si="14"/>
        <v>2367.75</v>
      </c>
      <c r="D28" s="21">
        <f t="shared" si="15"/>
        <v>30780.75</v>
      </c>
      <c r="E28" s="21">
        <f t="shared" si="16"/>
        <v>19635.000000000004</v>
      </c>
      <c r="F28" s="21">
        <f t="shared" si="16"/>
        <v>19635.000000000004</v>
      </c>
      <c r="G28" s="21">
        <f t="shared" si="16"/>
        <v>19635.000000000004</v>
      </c>
      <c r="H28" s="21">
        <f t="shared" si="17"/>
        <v>32725.000000000007</v>
      </c>
    </row>
    <row r="29" spans="2:18" ht="15" customHeight="1" x14ac:dyDescent="0.2">
      <c r="B29" s="2" t="s">
        <v>283</v>
      </c>
      <c r="C29" s="21">
        <f t="shared" si="14"/>
        <v>717.5</v>
      </c>
      <c r="D29" s="21">
        <f t="shared" si="15"/>
        <v>9327.5</v>
      </c>
      <c r="E29" s="21">
        <f t="shared" si="16"/>
        <v>5775</v>
      </c>
      <c r="F29" s="21">
        <f t="shared" si="16"/>
        <v>5775</v>
      </c>
      <c r="G29" s="21">
        <f t="shared" si="16"/>
        <v>5775</v>
      </c>
      <c r="H29" s="21">
        <f t="shared" si="17"/>
        <v>9625</v>
      </c>
    </row>
    <row r="30" spans="2:18" ht="15" customHeight="1" x14ac:dyDescent="0.2">
      <c r="B30" s="2" t="s">
        <v>284</v>
      </c>
      <c r="C30" s="21">
        <f t="shared" si="14"/>
        <v>454.5454545454545</v>
      </c>
      <c r="D30" s="21">
        <f t="shared" si="15"/>
        <v>1454.5454545454545</v>
      </c>
      <c r="E30" s="21">
        <f t="shared" si="16"/>
        <v>1500</v>
      </c>
      <c r="F30" s="21">
        <f t="shared" si="16"/>
        <v>1500</v>
      </c>
      <c r="G30" s="21">
        <f t="shared" si="16"/>
        <v>1500</v>
      </c>
      <c r="H30" s="21">
        <f t="shared" si="17"/>
        <v>1500</v>
      </c>
    </row>
    <row r="31" spans="2:18" ht="15" customHeight="1" x14ac:dyDescent="0.2">
      <c r="B31" s="3" t="s">
        <v>279</v>
      </c>
      <c r="C31" s="22">
        <f t="shared" si="14"/>
        <v>37975.695454545457</v>
      </c>
      <c r="D31" s="22">
        <f t="shared" si="15"/>
        <v>489986.29545454541</v>
      </c>
      <c r="E31" s="22">
        <f t="shared" si="16"/>
        <v>297833.40000000002</v>
      </c>
      <c r="F31" s="22">
        <f t="shared" si="16"/>
        <v>298684.79999999999</v>
      </c>
      <c r="G31" s="22">
        <f t="shared" si="16"/>
        <v>298684.79999999999</v>
      </c>
      <c r="H31" s="22">
        <f t="shared" si="17"/>
        <v>497186.4</v>
      </c>
    </row>
  </sheetData>
  <mergeCells count="9">
    <mergeCell ref="B23:H23"/>
    <mergeCell ref="C24:D24"/>
    <mergeCell ref="E24:H24"/>
    <mergeCell ref="M2:T2"/>
    <mergeCell ref="B1:T1"/>
    <mergeCell ref="C2:L2"/>
    <mergeCell ref="B12:R12"/>
    <mergeCell ref="C13:F13"/>
    <mergeCell ref="G13:R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T67"/>
  <sheetViews>
    <sheetView showGridLines="0" zoomScale="156" zoomScaleNormal="100" workbookViewId="0">
      <pane xSplit="2" ySplit="3" topLeftCell="C51" activePane="bottomRight" state="frozen"/>
      <selection pane="topRight" activeCell="C1" sqref="C1"/>
      <selection pane="bottomLeft" activeCell="A4" sqref="A4"/>
      <selection pane="bottomRight" activeCell="M21" sqref="M21"/>
    </sheetView>
  </sheetViews>
  <sheetFormatPr baseColWidth="10" defaultColWidth="8.6640625" defaultRowHeight="15" x14ac:dyDescent="0.2"/>
  <cols>
    <col min="1" max="1" width="2.5" customWidth="1"/>
    <col min="2" max="2" width="46" customWidth="1"/>
    <col min="3" max="18" width="9.5" customWidth="1"/>
    <col min="19" max="20" width="12" customWidth="1"/>
  </cols>
  <sheetData>
    <row r="1" spans="2:20" ht="25.5" customHeight="1" x14ac:dyDescent="0.2">
      <c r="B1" s="45" t="s">
        <v>285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</row>
    <row r="2" spans="2:20" ht="27.75" customHeight="1" x14ac:dyDescent="0.2">
      <c r="B2" s="49" t="s">
        <v>286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</row>
    <row r="3" spans="2:20" ht="15" customHeight="1" x14ac:dyDescent="0.2">
      <c r="C3" s="47" t="s">
        <v>222</v>
      </c>
      <c r="D3" s="47"/>
      <c r="E3" s="47"/>
      <c r="F3" s="47"/>
      <c r="G3" s="47"/>
      <c r="H3" s="47"/>
      <c r="I3" s="47"/>
      <c r="J3" s="47"/>
      <c r="K3" s="47"/>
      <c r="L3" s="47"/>
      <c r="M3" s="47" t="s">
        <v>223</v>
      </c>
      <c r="N3" s="47"/>
      <c r="O3" s="47"/>
      <c r="P3" s="47"/>
      <c r="Q3" s="47"/>
      <c r="R3" s="47"/>
    </row>
    <row r="4" spans="2:20" ht="33.75" customHeight="1" x14ac:dyDescent="0.2">
      <c r="B4" s="15" t="s">
        <v>224</v>
      </c>
      <c r="C4" s="12" t="s">
        <v>202</v>
      </c>
      <c r="D4" s="12" t="s">
        <v>203</v>
      </c>
      <c r="E4" s="12" t="s">
        <v>204</v>
      </c>
      <c r="F4" s="12" t="s">
        <v>205</v>
      </c>
      <c r="G4" s="12" t="s">
        <v>206</v>
      </c>
      <c r="H4" s="12" t="s">
        <v>207</v>
      </c>
      <c r="I4" s="12" t="s">
        <v>208</v>
      </c>
      <c r="J4" s="12" t="s">
        <v>209</v>
      </c>
      <c r="K4" s="12" t="s">
        <v>210</v>
      </c>
      <c r="L4" s="12" t="s">
        <v>211</v>
      </c>
      <c r="M4" s="12" t="s">
        <v>212</v>
      </c>
      <c r="N4" s="12" t="s">
        <v>213</v>
      </c>
      <c r="O4" s="12" t="s">
        <v>214</v>
      </c>
      <c r="P4" s="12" t="s">
        <v>215</v>
      </c>
      <c r="Q4" s="12" t="s">
        <v>216</v>
      </c>
      <c r="R4" s="12" t="s">
        <v>217</v>
      </c>
      <c r="S4" s="12" t="s">
        <v>225</v>
      </c>
      <c r="T4" s="12" t="s">
        <v>226</v>
      </c>
    </row>
    <row r="5" spans="2:20" ht="18" customHeight="1" x14ac:dyDescent="0.2">
      <c r="B5" s="48" t="s">
        <v>287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</row>
    <row r="6" spans="2:20" ht="15" customHeight="1" x14ac:dyDescent="0.2">
      <c r="B6" s="2" t="s">
        <v>288</v>
      </c>
      <c r="C6" s="16">
        <f>Operacao_Operations!C16</f>
        <v>6</v>
      </c>
      <c r="D6" s="16">
        <f>Operacao_Operations!D16</f>
        <v>10</v>
      </c>
      <c r="E6" s="16">
        <f>Operacao_Operations!E16</f>
        <v>14</v>
      </c>
      <c r="F6" s="16">
        <f>Operacao_Operations!F16</f>
        <v>19</v>
      </c>
      <c r="G6" s="16">
        <f>Operacao_Operations!G16</f>
        <v>23</v>
      </c>
      <c r="H6" s="16">
        <f>Operacao_Operations!H16</f>
        <v>27</v>
      </c>
      <c r="I6" s="16">
        <f>Operacao_Operations!I16</f>
        <v>29</v>
      </c>
      <c r="J6" s="16">
        <f>Operacao_Operations!J16</f>
        <v>29</v>
      </c>
      <c r="K6" s="16">
        <f>Operacao_Operations!K16</f>
        <v>29</v>
      </c>
      <c r="L6" s="16">
        <f>Operacao_Operations!L16</f>
        <v>29</v>
      </c>
      <c r="M6" s="16">
        <f>Operacao_Operations!M16</f>
        <v>29</v>
      </c>
      <c r="N6" s="16">
        <f>Operacao_Operations!N16</f>
        <v>29</v>
      </c>
      <c r="O6" s="16">
        <f>Operacao_Operations!O16</f>
        <v>29</v>
      </c>
      <c r="P6" s="16">
        <f>Operacao_Operations!P16</f>
        <v>29</v>
      </c>
      <c r="Q6" s="16">
        <f>Operacao_Operations!Q16</f>
        <v>29</v>
      </c>
      <c r="R6" s="16">
        <f>Operacao_Operations!R16</f>
        <v>29</v>
      </c>
    </row>
    <row r="7" spans="2:20" ht="15" customHeight="1" x14ac:dyDescent="0.2">
      <c r="B7" s="2" t="s">
        <v>289</v>
      </c>
      <c r="C7" s="21">
        <f>Operacao_Operations!C16*Pressupostos_Assumpt!C41*Operacao_Operations!C5</f>
        <v>1465.4545454545455</v>
      </c>
      <c r="D7" s="21">
        <f>Operacao_Operations!D16*Pressupostos_Assumpt!C41*Operacao_Operations!D5</f>
        <v>2442.4242424242425</v>
      </c>
      <c r="E7" s="21">
        <f>Operacao_Operations!E16*Pressupostos_Assumpt!C41*Operacao_Operations!E5</f>
        <v>3419.3939393939395</v>
      </c>
      <c r="F7" s="21">
        <f>Operacao_Operations!F16*Pressupostos_Assumpt!C41*Operacao_Operations!F5</f>
        <v>4640.606060606061</v>
      </c>
      <c r="G7" s="21">
        <f>Operacao_Operations!G16*Pressupostos_Assumpt!C41*Operacao_Operations!G5</f>
        <v>5617.575757575758</v>
      </c>
      <c r="H7" s="21">
        <f>Operacao_Operations!H16*Pressupostos_Assumpt!C41*Operacao_Operations!H5</f>
        <v>6594.545454545455</v>
      </c>
      <c r="I7" s="21">
        <f>Operacao_Operations!I16*Pressupostos_Assumpt!C41*Operacao_Operations!I5</f>
        <v>7083.030303030303</v>
      </c>
      <c r="J7" s="21">
        <f>Operacao_Operations!J16*Pressupostos_Assumpt!C41*Operacao_Operations!J5</f>
        <v>7083.030303030303</v>
      </c>
      <c r="K7" s="21">
        <f>Operacao_Operations!K16*Pressupostos_Assumpt!C41*Operacao_Operations!K5</f>
        <v>31165.333333333336</v>
      </c>
      <c r="L7" s="21">
        <f>Operacao_Operations!L16*Pressupostos_Assumpt!C41*Operacao_Operations!L5</f>
        <v>31165.333333333336</v>
      </c>
      <c r="M7" s="21">
        <f>Operacao_Operations!M16*Pressupostos_Assumpt!D41*Operacao_Operations!M5</f>
        <v>93496</v>
      </c>
      <c r="N7" s="21">
        <f>Operacao_Operations!N16*Pressupostos_Assumpt!D41*Operacao_Operations!N5</f>
        <v>93496</v>
      </c>
      <c r="O7" s="21">
        <f>Operacao_Operations!O16*Pressupostos_Assumpt!D41*Operacao_Operations!O5</f>
        <v>93496</v>
      </c>
      <c r="P7" s="21">
        <f>Operacao_Operations!P16*Pressupostos_Assumpt!D41*Operacao_Operations!P5</f>
        <v>31165.333333333336</v>
      </c>
      <c r="Q7" s="21">
        <f>Operacao_Operations!Q16*Pressupostos_Assumpt!D41*Operacao_Operations!Q5</f>
        <v>31165.333333333336</v>
      </c>
      <c r="R7" s="21">
        <f>Operacao_Operations!R16*Pressupostos_Assumpt!D41*Operacao_Operations!R5</f>
        <v>31165.333333333336</v>
      </c>
      <c r="S7" s="21">
        <f t="shared" ref="S7:S15" si="0">C7+D7+E7+F7+G7+H7+I7+J7+K7+L7</f>
        <v>100676.72727272729</v>
      </c>
      <c r="T7" s="21">
        <f t="shared" ref="T7:T15" si="1">M7+N7+O7+P7+Q7+R7</f>
        <v>373983.99999999994</v>
      </c>
    </row>
    <row r="8" spans="2:20" ht="15" customHeight="1" x14ac:dyDescent="0.2">
      <c r="B8" s="2" t="s">
        <v>290</v>
      </c>
      <c r="C8" s="21">
        <f>Operacao_Operations!C16*Pressupostos_Assumpt!C41*(Pressupostos_Assumpt!C54-1)*Operacao_Operations!C5</f>
        <v>244.24242424242436</v>
      </c>
      <c r="D8" s="21">
        <f>Operacao_Operations!D16*Pressupostos_Assumpt!C41*(Pressupostos_Assumpt!C54-1)*Operacao_Operations!D5</f>
        <v>407.07070707070727</v>
      </c>
      <c r="E8" s="21">
        <f>Operacao_Operations!E16*Pressupostos_Assumpt!C41*(Pressupostos_Assumpt!C54-1)*Operacao_Operations!E5</f>
        <v>569.89898989899007</v>
      </c>
      <c r="F8" s="21">
        <f>Operacao_Operations!F16*Pressupostos_Assumpt!C41*(Pressupostos_Assumpt!C54-1)*Operacao_Operations!F5</f>
        <v>773.43434343434376</v>
      </c>
      <c r="G8" s="21">
        <f>Operacao_Operations!G16*Pressupostos_Assumpt!C41*(Pressupostos_Assumpt!C54-1)*Operacao_Operations!G5</f>
        <v>936.26262626262667</v>
      </c>
      <c r="H8" s="21">
        <f>Operacao_Operations!H16*Pressupostos_Assumpt!C41*(Pressupostos_Assumpt!C54-1)*Operacao_Operations!H5</f>
        <v>1099.0909090909097</v>
      </c>
      <c r="I8" s="21">
        <f>Operacao_Operations!I16*Pressupostos_Assumpt!C41*(Pressupostos_Assumpt!C54-1)*Operacao_Operations!I5</f>
        <v>1180.5050505050513</v>
      </c>
      <c r="J8" s="21">
        <f>Operacao_Operations!J16*Pressupostos_Assumpt!C41*(Pressupostos_Assumpt!C54-1)*Operacao_Operations!J5</f>
        <v>1180.5050505050513</v>
      </c>
      <c r="K8" s="21">
        <f>Operacao_Operations!K16*Pressupostos_Assumpt!C41*(Pressupostos_Assumpt!C54-1)*Operacao_Operations!K5</f>
        <v>5194.2222222222254</v>
      </c>
      <c r="L8" s="21">
        <f>Operacao_Operations!L16*Pressupostos_Assumpt!C41*(Pressupostos_Assumpt!C54-1)*Operacao_Operations!L5</f>
        <v>5194.2222222222254</v>
      </c>
      <c r="M8" s="21">
        <f>Operacao_Operations!M16*Pressupostos_Assumpt!D41*(Pressupostos_Assumpt!D54-1)*Operacao_Operations!M5</f>
        <v>15582.666666666675</v>
      </c>
      <c r="N8" s="21">
        <f>Operacao_Operations!N16*Pressupostos_Assumpt!D41*(Pressupostos_Assumpt!D54-1)*Operacao_Operations!N5</f>
        <v>15582.666666666675</v>
      </c>
      <c r="O8" s="21">
        <f>Operacao_Operations!O16*Pressupostos_Assumpt!D41*(Pressupostos_Assumpt!D54-1)*Operacao_Operations!O5</f>
        <v>15582.666666666675</v>
      </c>
      <c r="P8" s="21">
        <f>Operacao_Operations!P16*Pressupostos_Assumpt!D41*(Pressupostos_Assumpt!D54-1)*Operacao_Operations!P5</f>
        <v>5194.2222222222254</v>
      </c>
      <c r="Q8" s="21">
        <f>Operacao_Operations!Q16*Pressupostos_Assumpt!D41*(Pressupostos_Assumpt!D54-1)*Operacao_Operations!Q5</f>
        <v>5194.2222222222254</v>
      </c>
      <c r="R8" s="21">
        <f>Operacao_Operations!R16*Pressupostos_Assumpt!D41*(Pressupostos_Assumpt!D54-1)*Operacao_Operations!R5</f>
        <v>5194.2222222222254</v>
      </c>
      <c r="S8" s="21">
        <f t="shared" si="0"/>
        <v>16779.454545454555</v>
      </c>
      <c r="T8" s="21">
        <f t="shared" si="1"/>
        <v>62330.666666666708</v>
      </c>
    </row>
    <row r="9" spans="2:20" ht="15" customHeight="1" x14ac:dyDescent="0.2">
      <c r="B9" s="2" t="s">
        <v>291</v>
      </c>
      <c r="C9" s="21">
        <f>Operacao_Operations!C16*Pressupostos_Assumpt!C56*Pressupostos_Assumpt!C58*Operacao_Operations!C5</f>
        <v>180</v>
      </c>
      <c r="D9" s="21">
        <f>Operacao_Operations!D16*Pressupostos_Assumpt!C56*Pressupostos_Assumpt!C58*Operacao_Operations!D5</f>
        <v>300</v>
      </c>
      <c r="E9" s="21">
        <f>Operacao_Operations!E16*Pressupostos_Assumpt!C56*Pressupostos_Assumpt!C58*Operacao_Operations!E5</f>
        <v>420</v>
      </c>
      <c r="F9" s="21">
        <f>Operacao_Operations!F16*Pressupostos_Assumpt!C56*Pressupostos_Assumpt!C58*Operacao_Operations!F5</f>
        <v>570</v>
      </c>
      <c r="G9" s="21">
        <f>Operacao_Operations!G16*Pressupostos_Assumpt!C56*Pressupostos_Assumpt!C58*Operacao_Operations!G5</f>
        <v>690</v>
      </c>
      <c r="H9" s="21">
        <f>Operacao_Operations!H16*Pressupostos_Assumpt!C56*Pressupostos_Assumpt!C58*Operacao_Operations!H5</f>
        <v>810</v>
      </c>
      <c r="I9" s="21">
        <f>Operacao_Operations!I16*Pressupostos_Assumpt!C56*Pressupostos_Assumpt!C58*Operacao_Operations!I5</f>
        <v>870</v>
      </c>
      <c r="J9" s="21">
        <f>Operacao_Operations!J16*Pressupostos_Assumpt!C56*Pressupostos_Assumpt!C58*Operacao_Operations!J5</f>
        <v>870</v>
      </c>
      <c r="K9" s="21">
        <f>Operacao_Operations!K16*Pressupostos_Assumpt!C56*Pressupostos_Assumpt!C58*Operacao_Operations!K5</f>
        <v>3828</v>
      </c>
      <c r="L9" s="21">
        <f>Operacao_Operations!L16*Pressupostos_Assumpt!C56*Pressupostos_Assumpt!C58*Operacao_Operations!L5</f>
        <v>3828</v>
      </c>
      <c r="M9" s="21">
        <f>Operacao_Operations!M16*Pressupostos_Assumpt!D56*Pressupostos_Assumpt!D58*Operacao_Operations!M5</f>
        <v>11484</v>
      </c>
      <c r="N9" s="21">
        <f>Operacao_Operations!N16*Pressupostos_Assumpt!D56*Pressupostos_Assumpt!D58*Operacao_Operations!N5</f>
        <v>11484</v>
      </c>
      <c r="O9" s="21">
        <f>Operacao_Operations!O16*Pressupostos_Assumpt!D56*Pressupostos_Assumpt!D58*Operacao_Operations!O5</f>
        <v>11484</v>
      </c>
      <c r="P9" s="21">
        <f>Operacao_Operations!P16*Pressupostos_Assumpt!D56*Pressupostos_Assumpt!D58*Operacao_Operations!P5</f>
        <v>3828</v>
      </c>
      <c r="Q9" s="21">
        <f>Operacao_Operations!Q16*Pressupostos_Assumpt!D56*Pressupostos_Assumpt!D58*Operacao_Operations!Q5</f>
        <v>3828</v>
      </c>
      <c r="R9" s="21">
        <f>Operacao_Operations!R16*Pressupostos_Assumpt!D56*Pressupostos_Assumpt!D58*Operacao_Operations!R5</f>
        <v>3828</v>
      </c>
      <c r="S9" s="21">
        <f t="shared" si="0"/>
        <v>12366</v>
      </c>
      <c r="T9" s="21">
        <f t="shared" si="1"/>
        <v>45936</v>
      </c>
    </row>
    <row r="10" spans="2:20" ht="15" customHeight="1" x14ac:dyDescent="0.2">
      <c r="B10" s="3" t="s">
        <v>292</v>
      </c>
      <c r="C10" s="22">
        <f t="shared" ref="C10:R10" si="2">C7+C8+C9</f>
        <v>1889.69696969697</v>
      </c>
      <c r="D10" s="22">
        <f t="shared" si="2"/>
        <v>3149.4949494949497</v>
      </c>
      <c r="E10" s="22">
        <f t="shared" si="2"/>
        <v>4409.2929292929293</v>
      </c>
      <c r="F10" s="22">
        <f t="shared" si="2"/>
        <v>5984.0404040404046</v>
      </c>
      <c r="G10" s="22">
        <f t="shared" si="2"/>
        <v>7243.8383838383843</v>
      </c>
      <c r="H10" s="22">
        <f t="shared" si="2"/>
        <v>8503.636363636364</v>
      </c>
      <c r="I10" s="22">
        <f t="shared" si="2"/>
        <v>9133.5353535353534</v>
      </c>
      <c r="J10" s="22">
        <f t="shared" si="2"/>
        <v>9133.5353535353534</v>
      </c>
      <c r="K10" s="22">
        <f t="shared" si="2"/>
        <v>40187.555555555562</v>
      </c>
      <c r="L10" s="22">
        <f t="shared" si="2"/>
        <v>40187.555555555562</v>
      </c>
      <c r="M10" s="22">
        <f t="shared" si="2"/>
        <v>120562.66666666667</v>
      </c>
      <c r="N10" s="22">
        <f t="shared" si="2"/>
        <v>120562.66666666667</v>
      </c>
      <c r="O10" s="22">
        <f t="shared" si="2"/>
        <v>120562.66666666667</v>
      </c>
      <c r="P10" s="22">
        <f t="shared" si="2"/>
        <v>40187.555555555562</v>
      </c>
      <c r="Q10" s="22">
        <f t="shared" si="2"/>
        <v>40187.555555555562</v>
      </c>
      <c r="R10" s="22">
        <f t="shared" si="2"/>
        <v>40187.555555555562</v>
      </c>
      <c r="S10" s="22">
        <f t="shared" si="0"/>
        <v>129822.18181818182</v>
      </c>
      <c r="T10" s="22">
        <f t="shared" si="1"/>
        <v>482250.66666666669</v>
      </c>
    </row>
    <row r="11" spans="2:20" ht="15" customHeight="1" x14ac:dyDescent="0.2">
      <c r="B11" s="2" t="s">
        <v>293</v>
      </c>
      <c r="C11" s="21">
        <f>(C7+C8)*Pressupostos_Assumpt!C42+Operacao_Operations!C16*MAX(0,Pressupostos_Assumpt!C56-Pressupostos_Assumpt!C57)*Pressupostos_Assumpt!C58*Pressupostos_Assumpt!C42*Operacao_Operations!C5</f>
        <v>406.05303030303037</v>
      </c>
      <c r="D11" s="21">
        <f>(D7+D8)*Pressupostos_Assumpt!C42+Operacao_Operations!D16*MAX(0,Pressupostos_Assumpt!C56-Pressupostos_Assumpt!C57)*Pressupostos_Assumpt!C58*Pressupostos_Assumpt!C42*Operacao_Operations!D5</f>
        <v>676.75505050505046</v>
      </c>
      <c r="E11" s="21">
        <f>(E7+E8)*Pressupostos_Assumpt!C42+Operacao_Operations!E16*MAX(0,Pressupostos_Assumpt!C56-Pressupostos_Assumpt!C57)*Pressupostos_Assumpt!C58*Pressupostos_Assumpt!C42*Operacao_Operations!E5</f>
        <v>947.45707070707067</v>
      </c>
      <c r="F11" s="21">
        <f>(F7+F8)*Pressupostos_Assumpt!C42+Operacao_Operations!F16*MAX(0,Pressupostos_Assumpt!C56-Pressupostos_Assumpt!C57)*Pressupostos_Assumpt!C58*Pressupostos_Assumpt!C42*Operacao_Operations!F5</f>
        <v>1285.8345959595961</v>
      </c>
      <c r="G11" s="21">
        <f>(G7+G8)*Pressupostos_Assumpt!C42+Operacao_Operations!G16*MAX(0,Pressupostos_Assumpt!C56-Pressupostos_Assumpt!C57)*Pressupostos_Assumpt!C58*Pressupostos_Assumpt!C42*Operacao_Operations!G5</f>
        <v>1556.5366161616162</v>
      </c>
      <c r="H11" s="21">
        <f>(H7+H8)*Pressupostos_Assumpt!C42+Operacao_Operations!H16*MAX(0,Pressupostos_Assumpt!C56-Pressupostos_Assumpt!C57)*Pressupostos_Assumpt!C58*Pressupostos_Assumpt!C42*Operacao_Operations!H5</f>
        <v>1827.2386363636365</v>
      </c>
      <c r="I11" s="21">
        <f>(I7+I8)*Pressupostos_Assumpt!C42+Operacao_Operations!I16*MAX(0,Pressupostos_Assumpt!C56-Pressupostos_Assumpt!C57)*Pressupostos_Assumpt!C58*Pressupostos_Assumpt!C42*Operacao_Operations!I5</f>
        <v>1962.5896464646464</v>
      </c>
      <c r="J11" s="21">
        <f>(J7+J8)*Pressupostos_Assumpt!C42+Operacao_Operations!J16*MAX(0,Pressupostos_Assumpt!C56-Pressupostos_Assumpt!C57)*Pressupostos_Assumpt!C58*Pressupostos_Assumpt!C42*Operacao_Operations!J5</f>
        <v>1962.5896464646464</v>
      </c>
      <c r="K11" s="21">
        <f>(K7+K8)*Pressupostos_Assumpt!C42+Operacao_Operations!K16*MAX(0,Pressupostos_Assumpt!C56-Pressupostos_Assumpt!C57)*Pressupostos_Assumpt!C58*Pressupostos_Assumpt!C42*Operacao_Operations!K5</f>
        <v>8635.394444444446</v>
      </c>
      <c r="L11" s="21">
        <f>(L7+L8)*Pressupostos_Assumpt!C42+Operacao_Operations!L16*MAX(0,Pressupostos_Assumpt!C56-Pressupostos_Assumpt!C57)*Pressupostos_Assumpt!C58*Pressupostos_Assumpt!C42*Operacao_Operations!L5</f>
        <v>8635.394444444446</v>
      </c>
      <c r="M11" s="21">
        <f>(M7+M8)*Pressupostos_Assumpt!D42+Operacao_Operations!M16*MAX(0,Pressupostos_Assumpt!D56-Pressupostos_Assumpt!D57)*Pressupostos_Assumpt!D58*Pressupostos_Assumpt!D42*Operacao_Operations!M5</f>
        <v>25906.183333333334</v>
      </c>
      <c r="N11" s="21">
        <f>(N7+N8)*Pressupostos_Assumpt!D42+Operacao_Operations!N16*MAX(0,Pressupostos_Assumpt!D56-Pressupostos_Assumpt!D57)*Pressupostos_Assumpt!D58*Pressupostos_Assumpt!D42*Operacao_Operations!N5</f>
        <v>25906.183333333334</v>
      </c>
      <c r="O11" s="21">
        <f>(O7+O8)*Pressupostos_Assumpt!D42+Operacao_Operations!O16*MAX(0,Pressupostos_Assumpt!D56-Pressupostos_Assumpt!D57)*Pressupostos_Assumpt!D58*Pressupostos_Assumpt!D42*Operacao_Operations!O5</f>
        <v>25906.183333333334</v>
      </c>
      <c r="P11" s="21">
        <f>(P7+P8)*Pressupostos_Assumpt!D42+Operacao_Operations!P16*MAX(0,Pressupostos_Assumpt!D56-Pressupostos_Assumpt!D57)*Pressupostos_Assumpt!D58*Pressupostos_Assumpt!D42*Operacao_Operations!P5</f>
        <v>8635.394444444446</v>
      </c>
      <c r="Q11" s="21">
        <f>(Q7+Q8)*Pressupostos_Assumpt!D42+Operacao_Operations!Q16*MAX(0,Pressupostos_Assumpt!D56-Pressupostos_Assumpt!D57)*Pressupostos_Assumpt!D58*Pressupostos_Assumpt!D42*Operacao_Operations!Q5</f>
        <v>8635.394444444446</v>
      </c>
      <c r="R11" s="21">
        <f>(R7+R8)*Pressupostos_Assumpt!D42+Operacao_Operations!R16*MAX(0,Pressupostos_Assumpt!D56-Pressupostos_Assumpt!D57)*Pressupostos_Assumpt!D58*Pressupostos_Assumpt!D42*Operacao_Operations!R5</f>
        <v>8635.394444444446</v>
      </c>
      <c r="S11" s="21">
        <f t="shared" si="0"/>
        <v>27895.843181818185</v>
      </c>
      <c r="T11" s="21">
        <f t="shared" si="1"/>
        <v>103624.73333333335</v>
      </c>
    </row>
    <row r="12" spans="2:20" ht="15" customHeight="1" x14ac:dyDescent="0.2">
      <c r="B12" s="2" t="s">
        <v>294</v>
      </c>
      <c r="C12" s="21">
        <f>(C7+C8)*Pressupostos_Assumpt!C55</f>
        <v>188.06666666666669</v>
      </c>
      <c r="D12" s="21">
        <f>(D7+D8)*Pressupostos_Assumpt!C55</f>
        <v>313.44444444444446</v>
      </c>
      <c r="E12" s="21">
        <f>(E7+E8)*Pressupostos_Assumpt!C55</f>
        <v>438.82222222222225</v>
      </c>
      <c r="F12" s="21">
        <f>(F7+F8)*Pressupostos_Assumpt!C55</f>
        <v>595.54444444444448</v>
      </c>
      <c r="G12" s="21">
        <f>(G7+G8)*Pressupostos_Assumpt!C55</f>
        <v>720.92222222222233</v>
      </c>
      <c r="H12" s="21">
        <f>(H7+H8)*Pressupostos_Assumpt!C55</f>
        <v>846.30000000000018</v>
      </c>
      <c r="I12" s="21">
        <f>(I7+I8)*Pressupostos_Assumpt!C55</f>
        <v>908.98888888888882</v>
      </c>
      <c r="J12" s="21">
        <f>(J7+J8)*Pressupostos_Assumpt!C55</f>
        <v>908.98888888888882</v>
      </c>
      <c r="K12" s="21">
        <f>(K7+K8)*Pressupostos_Assumpt!C55</f>
        <v>3999.5511111111118</v>
      </c>
      <c r="L12" s="21">
        <f>(L7+L8)*Pressupostos_Assumpt!C55</f>
        <v>3999.5511111111118</v>
      </c>
      <c r="M12" s="21">
        <f>(M7+M8)*Pressupostos_Assumpt!D55</f>
        <v>11998.653333333334</v>
      </c>
      <c r="N12" s="21">
        <f>(N7+N8)*Pressupostos_Assumpt!D55</f>
        <v>11998.653333333334</v>
      </c>
      <c r="O12" s="21">
        <f>(O7+O8)*Pressupostos_Assumpt!D55</f>
        <v>11998.653333333334</v>
      </c>
      <c r="P12" s="21">
        <f>(P7+P8)*Pressupostos_Assumpt!D55</f>
        <v>3999.5511111111118</v>
      </c>
      <c r="Q12" s="21">
        <f>(Q7+Q8)*Pressupostos_Assumpt!D55</f>
        <v>3999.5511111111118</v>
      </c>
      <c r="R12" s="21">
        <f>(R7+R8)*Pressupostos_Assumpt!D55</f>
        <v>3999.5511111111118</v>
      </c>
      <c r="S12" s="21">
        <f t="shared" si="0"/>
        <v>12920.180000000002</v>
      </c>
      <c r="T12" s="21">
        <f t="shared" si="1"/>
        <v>47994.613333333335</v>
      </c>
    </row>
    <row r="13" spans="2:20" ht="15" customHeight="1" x14ac:dyDescent="0.2">
      <c r="B13" s="2" t="s">
        <v>295</v>
      </c>
      <c r="C13" s="21">
        <f>(C7+C8)*Pressupostos_Assumpt!C59</f>
        <v>141.90484848484851</v>
      </c>
      <c r="D13" s="21">
        <f>(D7+D8)*Pressupostos_Assumpt!C59</f>
        <v>236.50808080808082</v>
      </c>
      <c r="E13" s="21">
        <f>(E7+E8)*Pressupostos_Assumpt!C59</f>
        <v>331.11131313131312</v>
      </c>
      <c r="F13" s="21">
        <f>(F7+F8)*Pressupostos_Assumpt!C59</f>
        <v>449.36535353535362</v>
      </c>
      <c r="G13" s="21">
        <f>(G7+G8)*Pressupostos_Assumpt!C59</f>
        <v>543.96858585858593</v>
      </c>
      <c r="H13" s="21">
        <f>(H7+H8)*Pressupostos_Assumpt!C59</f>
        <v>638.57181818181834</v>
      </c>
      <c r="I13" s="21">
        <f>(I7+I8)*Pressupostos_Assumpt!C59</f>
        <v>685.87343434343438</v>
      </c>
      <c r="J13" s="21">
        <f>(J7+J8)*Pressupostos_Assumpt!C59</f>
        <v>685.87343434343438</v>
      </c>
      <c r="K13" s="21">
        <f>(K7+K8)*Pressupostos_Assumpt!C59</f>
        <v>3017.8431111111117</v>
      </c>
      <c r="L13" s="21">
        <f>(L7+L8)*Pressupostos_Assumpt!C59</f>
        <v>3017.8431111111117</v>
      </c>
      <c r="M13" s="21">
        <f>(M7+M8)*Pressupostos_Assumpt!D59</f>
        <v>9053.5293333333339</v>
      </c>
      <c r="N13" s="21">
        <f>(N7+N8)*Pressupostos_Assumpt!D59</f>
        <v>9053.5293333333339</v>
      </c>
      <c r="O13" s="21">
        <f>(O7+O8)*Pressupostos_Assumpt!D59</f>
        <v>9053.5293333333339</v>
      </c>
      <c r="P13" s="21">
        <f>(P7+P8)*Pressupostos_Assumpt!D59</f>
        <v>3017.8431111111117</v>
      </c>
      <c r="Q13" s="21">
        <f>(Q7+Q8)*Pressupostos_Assumpt!D59</f>
        <v>3017.8431111111117</v>
      </c>
      <c r="R13" s="21">
        <f>(R7+R8)*Pressupostos_Assumpt!D59</f>
        <v>3017.8431111111117</v>
      </c>
      <c r="S13" s="21">
        <f t="shared" si="0"/>
        <v>9748.8630909090916</v>
      </c>
      <c r="T13" s="21">
        <f t="shared" si="1"/>
        <v>36214.117333333343</v>
      </c>
    </row>
    <row r="14" spans="2:20" ht="15" customHeight="1" x14ac:dyDescent="0.2">
      <c r="B14" s="2" t="s">
        <v>296</v>
      </c>
      <c r="C14" s="21">
        <f t="shared" ref="C14:R14" si="3">C7+C8+C9-C12-C13</f>
        <v>1559.7254545454548</v>
      </c>
      <c r="D14" s="21">
        <f t="shared" si="3"/>
        <v>2599.5424242424247</v>
      </c>
      <c r="E14" s="21">
        <f t="shared" si="3"/>
        <v>3639.3593939393941</v>
      </c>
      <c r="F14" s="21">
        <f t="shared" si="3"/>
        <v>4939.1306060606066</v>
      </c>
      <c r="G14" s="21">
        <f t="shared" si="3"/>
        <v>5978.9475757575756</v>
      </c>
      <c r="H14" s="21">
        <f t="shared" si="3"/>
        <v>7018.7645454545454</v>
      </c>
      <c r="I14" s="21">
        <f t="shared" si="3"/>
        <v>7538.6730303030299</v>
      </c>
      <c r="J14" s="21">
        <f t="shared" si="3"/>
        <v>7538.6730303030299</v>
      </c>
      <c r="K14" s="21">
        <f t="shared" si="3"/>
        <v>33170.161333333337</v>
      </c>
      <c r="L14" s="21">
        <f t="shared" si="3"/>
        <v>33170.161333333337</v>
      </c>
      <c r="M14" s="21">
        <f t="shared" si="3"/>
        <v>99510.483999999997</v>
      </c>
      <c r="N14" s="21">
        <f t="shared" si="3"/>
        <v>99510.483999999997</v>
      </c>
      <c r="O14" s="21">
        <f t="shared" si="3"/>
        <v>99510.483999999997</v>
      </c>
      <c r="P14" s="21">
        <f t="shared" si="3"/>
        <v>33170.161333333337</v>
      </c>
      <c r="Q14" s="21">
        <f t="shared" si="3"/>
        <v>33170.161333333337</v>
      </c>
      <c r="R14" s="21">
        <f t="shared" si="3"/>
        <v>33170.161333333337</v>
      </c>
      <c r="S14" s="21">
        <f t="shared" si="0"/>
        <v>107153.13872727273</v>
      </c>
      <c r="T14" s="21">
        <f t="shared" si="1"/>
        <v>398041.93600000005</v>
      </c>
    </row>
    <row r="15" spans="2:20" ht="21.75" customHeight="1" x14ac:dyDescent="0.2">
      <c r="B15" s="3" t="s">
        <v>297</v>
      </c>
      <c r="C15" s="22">
        <f t="shared" ref="C15:R15" si="4">C10+C11</f>
        <v>2295.7500000000005</v>
      </c>
      <c r="D15" s="22">
        <f t="shared" si="4"/>
        <v>3826.25</v>
      </c>
      <c r="E15" s="22">
        <f t="shared" si="4"/>
        <v>5356.75</v>
      </c>
      <c r="F15" s="22">
        <f t="shared" si="4"/>
        <v>7269.8750000000009</v>
      </c>
      <c r="G15" s="22">
        <f t="shared" si="4"/>
        <v>8800.375</v>
      </c>
      <c r="H15" s="22">
        <f t="shared" si="4"/>
        <v>10330.875</v>
      </c>
      <c r="I15" s="22">
        <f t="shared" si="4"/>
        <v>11096.125</v>
      </c>
      <c r="J15" s="22">
        <f t="shared" si="4"/>
        <v>11096.125</v>
      </c>
      <c r="K15" s="22">
        <f t="shared" si="4"/>
        <v>48822.950000000012</v>
      </c>
      <c r="L15" s="22">
        <f t="shared" si="4"/>
        <v>48822.950000000012</v>
      </c>
      <c r="M15" s="22">
        <f t="shared" si="4"/>
        <v>146468.85</v>
      </c>
      <c r="N15" s="22">
        <f t="shared" si="4"/>
        <v>146468.85</v>
      </c>
      <c r="O15" s="22">
        <f t="shared" si="4"/>
        <v>146468.85</v>
      </c>
      <c r="P15" s="22">
        <f t="shared" si="4"/>
        <v>48822.950000000012</v>
      </c>
      <c r="Q15" s="22">
        <f t="shared" si="4"/>
        <v>48822.950000000012</v>
      </c>
      <c r="R15" s="22">
        <f t="shared" si="4"/>
        <v>48822.950000000012</v>
      </c>
      <c r="S15" s="22">
        <f t="shared" si="0"/>
        <v>157718.02500000002</v>
      </c>
      <c r="T15" s="22">
        <f t="shared" si="1"/>
        <v>585875.40000000014</v>
      </c>
    </row>
    <row r="17" spans="2:20" ht="18" customHeight="1" x14ac:dyDescent="0.2">
      <c r="B17" s="48" t="s">
        <v>298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</row>
    <row r="18" spans="2:20" ht="15" customHeight="1" x14ac:dyDescent="0.2">
      <c r="B18" s="2" t="s">
        <v>299</v>
      </c>
      <c r="C18" s="16">
        <f>Operacao_Operations!C17</f>
        <v>0</v>
      </c>
      <c r="D18" s="16">
        <f>Operacao_Operations!D17</f>
        <v>0</v>
      </c>
      <c r="E18" s="16">
        <f>Operacao_Operations!E17</f>
        <v>0</v>
      </c>
      <c r="F18" s="16">
        <f>Operacao_Operations!F17</f>
        <v>0</v>
      </c>
      <c r="G18" s="16">
        <f>Operacao_Operations!G17</f>
        <v>0</v>
      </c>
      <c r="H18" s="16">
        <f>Operacao_Operations!H17</f>
        <v>0</v>
      </c>
      <c r="I18" s="16">
        <f>Operacao_Operations!I17</f>
        <v>0</v>
      </c>
      <c r="J18" s="16">
        <f>Operacao_Operations!J17</f>
        <v>0</v>
      </c>
      <c r="K18" s="16">
        <f>Operacao_Operations!K17</f>
        <v>29</v>
      </c>
      <c r="L18" s="16">
        <f>Operacao_Operations!L17</f>
        <v>29</v>
      </c>
      <c r="M18" s="16">
        <f>Operacao_Operations!M17</f>
        <v>0</v>
      </c>
      <c r="N18" s="16">
        <f>Operacao_Operations!N17</f>
        <v>0</v>
      </c>
      <c r="O18" s="16">
        <f>Operacao_Operations!O17</f>
        <v>0</v>
      </c>
      <c r="P18" s="16">
        <f>Operacao_Operations!P17</f>
        <v>0</v>
      </c>
      <c r="Q18" s="16">
        <f>Operacao_Operations!Q17</f>
        <v>29</v>
      </c>
      <c r="R18" s="16">
        <f>Operacao_Operations!R17</f>
        <v>29</v>
      </c>
    </row>
    <row r="19" spans="2:20" ht="15" customHeight="1" x14ac:dyDescent="0.2">
      <c r="B19" s="2" t="s">
        <v>300</v>
      </c>
      <c r="C19" s="21">
        <f>Operacao_Operations!C17*Pressupostos_Assumpt!C41*Operacao_Operations!C5</f>
        <v>0</v>
      </c>
      <c r="D19" s="21">
        <f>Operacao_Operations!D17*Pressupostos_Assumpt!C41*Operacao_Operations!D5</f>
        <v>0</v>
      </c>
      <c r="E19" s="21">
        <f>Operacao_Operations!E17*Pressupostos_Assumpt!C41*Operacao_Operations!E5</f>
        <v>0</v>
      </c>
      <c r="F19" s="21">
        <f>Operacao_Operations!F17*Pressupostos_Assumpt!C41*Operacao_Operations!F5</f>
        <v>0</v>
      </c>
      <c r="G19" s="21">
        <f>Operacao_Operations!G17*Pressupostos_Assumpt!C41*Operacao_Operations!G5</f>
        <v>0</v>
      </c>
      <c r="H19" s="21">
        <f>Operacao_Operations!H17*Pressupostos_Assumpt!C41*Operacao_Operations!H5</f>
        <v>0</v>
      </c>
      <c r="I19" s="21">
        <f>Operacao_Operations!I17*Pressupostos_Assumpt!C41*Operacao_Operations!I5</f>
        <v>0</v>
      </c>
      <c r="J19" s="21">
        <f>Operacao_Operations!J17*Pressupostos_Assumpt!C41*Operacao_Operations!J5</f>
        <v>0</v>
      </c>
      <c r="K19" s="21">
        <f>Operacao_Operations!K17*Pressupostos_Assumpt!C41*Operacao_Operations!K5</f>
        <v>31165.333333333336</v>
      </c>
      <c r="L19" s="21">
        <f>Operacao_Operations!L17*Pressupostos_Assumpt!C41*Operacao_Operations!L5</f>
        <v>31165.333333333336</v>
      </c>
      <c r="M19" s="21">
        <f>Operacao_Operations!M17*Pressupostos_Assumpt!D41*Operacao_Operations!M5</f>
        <v>0</v>
      </c>
      <c r="N19" s="21">
        <f>Operacao_Operations!N17*Pressupostos_Assumpt!D41*Operacao_Operations!N5</f>
        <v>0</v>
      </c>
      <c r="O19" s="21">
        <f>Operacao_Operations!O17*Pressupostos_Assumpt!D41*Operacao_Operations!O5</f>
        <v>0</v>
      </c>
      <c r="P19" s="21">
        <f>Operacao_Operations!P17*Pressupostos_Assumpt!D41*Operacao_Operations!P5</f>
        <v>0</v>
      </c>
      <c r="Q19" s="21">
        <f>Operacao_Operations!Q17*Pressupostos_Assumpt!D41*Operacao_Operations!Q5</f>
        <v>31165.333333333336</v>
      </c>
      <c r="R19" s="21">
        <f>Operacao_Operations!R17*Pressupostos_Assumpt!D41*Operacao_Operations!R5</f>
        <v>31165.333333333336</v>
      </c>
      <c r="S19" s="21">
        <f>C19+D19+E19+F19+G19+H19+I19+J19+K19+L19</f>
        <v>62330.666666666672</v>
      </c>
      <c r="T19" s="21">
        <f>M19+N19+O19+P19+Q19+R19</f>
        <v>62330.666666666672</v>
      </c>
    </row>
    <row r="20" spans="2:20" ht="21.75" customHeight="1" x14ac:dyDescent="0.2">
      <c r="B20" s="3" t="s">
        <v>301</v>
      </c>
      <c r="C20" s="22">
        <f>C19*Pressupostos_Assumpt!C65</f>
        <v>0</v>
      </c>
      <c r="D20" s="22">
        <f>D19*Pressupostos_Assumpt!C65</f>
        <v>0</v>
      </c>
      <c r="E20" s="22">
        <f>E19*Pressupostos_Assumpt!C65</f>
        <v>0</v>
      </c>
      <c r="F20" s="22">
        <f>F19*Pressupostos_Assumpt!C65</f>
        <v>0</v>
      </c>
      <c r="G20" s="22">
        <f>G19*Pressupostos_Assumpt!C65</f>
        <v>0</v>
      </c>
      <c r="H20" s="22">
        <f>H19*Pressupostos_Assumpt!C65</f>
        <v>0</v>
      </c>
      <c r="I20" s="22">
        <f>I19*Pressupostos_Assumpt!C65</f>
        <v>0</v>
      </c>
      <c r="J20" s="22">
        <f>J19*Pressupostos_Assumpt!C65</f>
        <v>0</v>
      </c>
      <c r="K20" s="22">
        <f>K19*Pressupostos_Assumpt!C65</f>
        <v>46748</v>
      </c>
      <c r="L20" s="22">
        <f>L19*Pressupostos_Assumpt!C65</f>
        <v>46748</v>
      </c>
      <c r="M20" s="22">
        <f>M19*Pressupostos_Assumpt!D65</f>
        <v>0</v>
      </c>
      <c r="N20" s="22">
        <f>N19*Pressupostos_Assumpt!D65</f>
        <v>0</v>
      </c>
      <c r="O20" s="22">
        <f>O19*Pressupostos_Assumpt!D65</f>
        <v>0</v>
      </c>
      <c r="P20" s="22">
        <f>P19*Pressupostos_Assumpt!D65</f>
        <v>0</v>
      </c>
      <c r="Q20" s="22">
        <f>Q19*Pressupostos_Assumpt!D65</f>
        <v>46748</v>
      </c>
      <c r="R20" s="22">
        <f>R19*Pressupostos_Assumpt!D65</f>
        <v>46748</v>
      </c>
      <c r="S20" s="22">
        <f>C20+D20+E20+F20+G20+H20+I20+J20+K20+L20</f>
        <v>93496</v>
      </c>
      <c r="T20" s="22">
        <f>M20+N20+O20+P20+Q20+R20</f>
        <v>93496</v>
      </c>
    </row>
    <row r="22" spans="2:20" ht="18" customHeight="1" x14ac:dyDescent="0.2">
      <c r="B22" s="48" t="s">
        <v>302</v>
      </c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</row>
    <row r="23" spans="2:20" ht="15" customHeight="1" x14ac:dyDescent="0.2">
      <c r="B23" s="2" t="s">
        <v>289</v>
      </c>
      <c r="C23" s="21">
        <f>Pressupostos_Assumpt!C61*Pressupostos_Assumpt!C45*Operacao_Operations!C5</f>
        <v>453.030303030303</v>
      </c>
      <c r="D23" s="21">
        <f>Pressupostos_Assumpt!C61*Pressupostos_Assumpt!C45*Operacao_Operations!D5</f>
        <v>453.030303030303</v>
      </c>
      <c r="E23" s="21">
        <f>Pressupostos_Assumpt!C61*Pressupostos_Assumpt!C45*Operacao_Operations!E5</f>
        <v>453.030303030303</v>
      </c>
      <c r="F23" s="21">
        <f>Pressupostos_Assumpt!C61*Pressupostos_Assumpt!C45*Operacao_Operations!F5</f>
        <v>453.030303030303</v>
      </c>
      <c r="G23" s="21">
        <f>Pressupostos_Assumpt!C61*Pressupostos_Assumpt!C45*Operacao_Operations!G5</f>
        <v>453.030303030303</v>
      </c>
      <c r="H23" s="21">
        <f>Pressupostos_Assumpt!C61*Pressupostos_Assumpt!C45*Operacao_Operations!H5</f>
        <v>453.030303030303</v>
      </c>
      <c r="I23" s="21">
        <f>Pressupostos_Assumpt!C61*Pressupostos_Assumpt!C45*Operacao_Operations!I5</f>
        <v>453.030303030303</v>
      </c>
      <c r="J23" s="21">
        <f>Pressupostos_Assumpt!C61*Pressupostos_Assumpt!C45*Operacao_Operations!J5</f>
        <v>453.030303030303</v>
      </c>
      <c r="K23" s="21">
        <f>Pressupostos_Assumpt!C61*Pressupostos_Assumpt!C45*Operacao_Operations!K5</f>
        <v>1993.3333333333333</v>
      </c>
      <c r="L23" s="21">
        <f>Pressupostos_Assumpt!C61*Pressupostos_Assumpt!C45*Operacao_Operations!L5</f>
        <v>1993.3333333333333</v>
      </c>
      <c r="M23" s="21">
        <f>Pressupostos_Assumpt!D61*Pressupostos_Assumpt!D45*Operacao_Operations!M5</f>
        <v>6162</v>
      </c>
      <c r="N23" s="21">
        <f>Pressupostos_Assumpt!D61*Pressupostos_Assumpt!D45*Operacao_Operations!N5</f>
        <v>6162</v>
      </c>
      <c r="O23" s="21">
        <f>Pressupostos_Assumpt!D61*Pressupostos_Assumpt!D45*Operacao_Operations!O5</f>
        <v>6162</v>
      </c>
      <c r="P23" s="21">
        <f>Pressupostos_Assumpt!D61*Pressupostos_Assumpt!D45*Operacao_Operations!P5</f>
        <v>2054</v>
      </c>
      <c r="Q23" s="21">
        <f>Pressupostos_Assumpt!D61*Pressupostos_Assumpt!D45*Operacao_Operations!Q5</f>
        <v>2054</v>
      </c>
      <c r="R23" s="21">
        <f>Pressupostos_Assumpt!D61*Pressupostos_Assumpt!D45*Operacao_Operations!R5</f>
        <v>2054</v>
      </c>
      <c r="S23" s="21">
        <f t="shared" ref="S23:S28" si="5">C23+D23+E23+F23+G23+H23+I23+J23+K23+L23</f>
        <v>7610.9090909090901</v>
      </c>
      <c r="T23" s="21">
        <f t="shared" ref="T23:T28" si="6">M23+N23+O23+P23+Q23+R23</f>
        <v>24648</v>
      </c>
    </row>
    <row r="24" spans="2:20" ht="15" customHeight="1" x14ac:dyDescent="0.2">
      <c r="B24" s="2" t="s">
        <v>290</v>
      </c>
      <c r="C24" s="21">
        <f>Pressupostos_Assumpt!C61*Pressupostos_Assumpt!C45*(Pressupostos_Assumpt!C54-1)*Operacao_Operations!C5</f>
        <v>75.505050505050534</v>
      </c>
      <c r="D24" s="21">
        <f>Pressupostos_Assumpt!C61*Pressupostos_Assumpt!C45*(Pressupostos_Assumpt!C54-1)*Operacao_Operations!D5</f>
        <v>75.505050505050534</v>
      </c>
      <c r="E24" s="21">
        <f>Pressupostos_Assumpt!C61*Pressupostos_Assumpt!C45*(Pressupostos_Assumpt!C54-1)*Operacao_Operations!E5</f>
        <v>75.505050505050534</v>
      </c>
      <c r="F24" s="21">
        <f>Pressupostos_Assumpt!C61*Pressupostos_Assumpt!C45*(Pressupostos_Assumpt!C54-1)*Operacao_Operations!F5</f>
        <v>75.505050505050534</v>
      </c>
      <c r="G24" s="21">
        <f>Pressupostos_Assumpt!C61*Pressupostos_Assumpt!C45*(Pressupostos_Assumpt!C54-1)*Operacao_Operations!G5</f>
        <v>75.505050505050534</v>
      </c>
      <c r="H24" s="21">
        <f>Pressupostos_Assumpt!C61*Pressupostos_Assumpt!C45*(Pressupostos_Assumpt!C54-1)*Operacao_Operations!H5</f>
        <v>75.505050505050534</v>
      </c>
      <c r="I24" s="21">
        <f>Pressupostos_Assumpt!C61*Pressupostos_Assumpt!C45*(Pressupostos_Assumpt!C54-1)*Operacao_Operations!I5</f>
        <v>75.505050505050534</v>
      </c>
      <c r="J24" s="21">
        <f>Pressupostos_Assumpt!C61*Pressupostos_Assumpt!C45*(Pressupostos_Assumpt!C54-1)*Operacao_Operations!J5</f>
        <v>75.505050505050534</v>
      </c>
      <c r="K24" s="21">
        <f>Pressupostos_Assumpt!C61*Pressupostos_Assumpt!C45*(Pressupostos_Assumpt!C54-1)*Operacao_Operations!K5</f>
        <v>332.22222222222234</v>
      </c>
      <c r="L24" s="21">
        <f>Pressupostos_Assumpt!C61*Pressupostos_Assumpt!C45*(Pressupostos_Assumpt!C54-1)*Operacao_Operations!L5</f>
        <v>332.22222222222234</v>
      </c>
      <c r="M24" s="21">
        <f>Pressupostos_Assumpt!D61*Pressupostos_Assumpt!D45*(Pressupostos_Assumpt!D54-1)*Operacao_Operations!M5</f>
        <v>1027.0000000000005</v>
      </c>
      <c r="N24" s="21">
        <f>Pressupostos_Assumpt!D61*Pressupostos_Assumpt!D45*(Pressupostos_Assumpt!D54-1)*Operacao_Operations!N5</f>
        <v>1027.0000000000005</v>
      </c>
      <c r="O24" s="21">
        <f>Pressupostos_Assumpt!D61*Pressupostos_Assumpt!D45*(Pressupostos_Assumpt!D54-1)*Operacao_Operations!O5</f>
        <v>1027.0000000000005</v>
      </c>
      <c r="P24" s="21">
        <f>Pressupostos_Assumpt!D61*Pressupostos_Assumpt!D45*(Pressupostos_Assumpt!D54-1)*Operacao_Operations!P5</f>
        <v>342.33333333333348</v>
      </c>
      <c r="Q24" s="21">
        <f>Pressupostos_Assumpt!D61*Pressupostos_Assumpt!D45*(Pressupostos_Assumpt!D54-1)*Operacao_Operations!Q5</f>
        <v>342.33333333333348</v>
      </c>
      <c r="R24" s="21">
        <f>Pressupostos_Assumpt!D61*Pressupostos_Assumpt!D45*(Pressupostos_Assumpt!D54-1)*Operacao_Operations!R5</f>
        <v>342.33333333333348</v>
      </c>
      <c r="S24" s="21">
        <f t="shared" si="5"/>
        <v>1268.484848484849</v>
      </c>
      <c r="T24" s="21">
        <f t="shared" si="6"/>
        <v>4108.0000000000018</v>
      </c>
    </row>
    <row r="25" spans="2:20" ht="15" customHeight="1" x14ac:dyDescent="0.2">
      <c r="B25" s="2" t="s">
        <v>291</v>
      </c>
      <c r="C25" s="21">
        <f>Pressupostos_Assumpt!C61*Pressupostos_Assumpt!C56*Pressupostos_Assumpt!C58*Operacao_Operations!C5</f>
        <v>30</v>
      </c>
      <c r="D25" s="21">
        <f>Pressupostos_Assumpt!C61*Pressupostos_Assumpt!C56*Pressupostos_Assumpt!C58*Operacao_Operations!D5</f>
        <v>30</v>
      </c>
      <c r="E25" s="21">
        <f>Pressupostos_Assumpt!C61*Pressupostos_Assumpt!C56*Pressupostos_Assumpt!C58*Operacao_Operations!E5</f>
        <v>30</v>
      </c>
      <c r="F25" s="21">
        <f>Pressupostos_Assumpt!C61*Pressupostos_Assumpt!C56*Pressupostos_Assumpt!C58*Operacao_Operations!F5</f>
        <v>30</v>
      </c>
      <c r="G25" s="21">
        <f>Pressupostos_Assumpt!C61*Pressupostos_Assumpt!C56*Pressupostos_Assumpt!C58*Operacao_Operations!G5</f>
        <v>30</v>
      </c>
      <c r="H25" s="21">
        <f>Pressupostos_Assumpt!C61*Pressupostos_Assumpt!C56*Pressupostos_Assumpt!C58*Operacao_Operations!H5</f>
        <v>30</v>
      </c>
      <c r="I25" s="21">
        <f>Pressupostos_Assumpt!C61*Pressupostos_Assumpt!C56*Pressupostos_Assumpt!C58*Operacao_Operations!I5</f>
        <v>30</v>
      </c>
      <c r="J25" s="21">
        <f>Pressupostos_Assumpt!C61*Pressupostos_Assumpt!C56*Pressupostos_Assumpt!C58*Operacao_Operations!J5</f>
        <v>30</v>
      </c>
      <c r="K25" s="21">
        <f>Pressupostos_Assumpt!C61*Pressupostos_Assumpt!C56*Pressupostos_Assumpt!C58*Operacao_Operations!K5</f>
        <v>132</v>
      </c>
      <c r="L25" s="21">
        <f>Pressupostos_Assumpt!C61*Pressupostos_Assumpt!C56*Pressupostos_Assumpt!C58*Operacao_Operations!L5</f>
        <v>132</v>
      </c>
      <c r="M25" s="21">
        <f>Pressupostos_Assumpt!D61*Pressupostos_Assumpt!D56*Pressupostos_Assumpt!D58*Operacao_Operations!M5</f>
        <v>396</v>
      </c>
      <c r="N25" s="21">
        <f>Pressupostos_Assumpt!D61*Pressupostos_Assumpt!D56*Pressupostos_Assumpt!D58*Operacao_Operations!N5</f>
        <v>396</v>
      </c>
      <c r="O25" s="21">
        <f>Pressupostos_Assumpt!D61*Pressupostos_Assumpt!D56*Pressupostos_Assumpt!D58*Operacao_Operations!O5</f>
        <v>396</v>
      </c>
      <c r="P25" s="21">
        <f>Pressupostos_Assumpt!D61*Pressupostos_Assumpt!D56*Pressupostos_Assumpt!D58*Operacao_Operations!P5</f>
        <v>132</v>
      </c>
      <c r="Q25" s="21">
        <f>Pressupostos_Assumpt!D61*Pressupostos_Assumpt!D56*Pressupostos_Assumpt!D58*Operacao_Operations!Q5</f>
        <v>132</v>
      </c>
      <c r="R25" s="21">
        <f>Pressupostos_Assumpt!D61*Pressupostos_Assumpt!D56*Pressupostos_Assumpt!D58*Operacao_Operations!R5</f>
        <v>132</v>
      </c>
      <c r="S25" s="21">
        <f t="shared" si="5"/>
        <v>504</v>
      </c>
      <c r="T25" s="21">
        <f t="shared" si="6"/>
        <v>1584</v>
      </c>
    </row>
    <row r="26" spans="2:20" ht="15" customHeight="1" x14ac:dyDescent="0.2">
      <c r="B26" s="3" t="s">
        <v>292</v>
      </c>
      <c r="C26" s="22">
        <f t="shared" ref="C26:R26" si="7">C23+C24+C25</f>
        <v>558.53535353535358</v>
      </c>
      <c r="D26" s="22">
        <f t="shared" si="7"/>
        <v>558.53535353535358</v>
      </c>
      <c r="E26" s="22">
        <f t="shared" si="7"/>
        <v>558.53535353535358</v>
      </c>
      <c r="F26" s="22">
        <f t="shared" si="7"/>
        <v>558.53535353535358</v>
      </c>
      <c r="G26" s="22">
        <f t="shared" si="7"/>
        <v>558.53535353535358</v>
      </c>
      <c r="H26" s="22">
        <f t="shared" si="7"/>
        <v>558.53535353535358</v>
      </c>
      <c r="I26" s="22">
        <f t="shared" si="7"/>
        <v>558.53535353535358</v>
      </c>
      <c r="J26" s="22">
        <f t="shared" si="7"/>
        <v>558.53535353535358</v>
      </c>
      <c r="K26" s="22">
        <f t="shared" si="7"/>
        <v>2457.5555555555557</v>
      </c>
      <c r="L26" s="22">
        <f t="shared" si="7"/>
        <v>2457.5555555555557</v>
      </c>
      <c r="M26" s="22">
        <f t="shared" si="7"/>
        <v>7585</v>
      </c>
      <c r="N26" s="22">
        <f t="shared" si="7"/>
        <v>7585</v>
      </c>
      <c r="O26" s="22">
        <f t="shared" si="7"/>
        <v>7585</v>
      </c>
      <c r="P26" s="22">
        <f t="shared" si="7"/>
        <v>2528.3333333333335</v>
      </c>
      <c r="Q26" s="22">
        <f t="shared" si="7"/>
        <v>2528.3333333333335</v>
      </c>
      <c r="R26" s="22">
        <f t="shared" si="7"/>
        <v>2528.3333333333335</v>
      </c>
      <c r="S26" s="22">
        <f t="shared" si="5"/>
        <v>9383.3939393939399</v>
      </c>
      <c r="T26" s="22">
        <f t="shared" si="6"/>
        <v>30339.999999999996</v>
      </c>
    </row>
    <row r="27" spans="2:20" ht="15" customHeight="1" x14ac:dyDescent="0.2">
      <c r="B27" s="2" t="s">
        <v>293</v>
      </c>
      <c r="C27" s="21">
        <f>(C23+C24)*Pressupostos_Assumpt!C42+Pressupostos_Assumpt!C61*MAX(0,Pressupostos_Assumpt!C56-Pressupostos_Assumpt!C57)*Pressupostos_Assumpt!C58*Pressupostos_Assumpt!C42*Operacao_Operations!C5</f>
        <v>125.52714646464646</v>
      </c>
      <c r="D27" s="21">
        <f>(D23+D24)*Pressupostos_Assumpt!C42+Pressupostos_Assumpt!C61*MAX(0,Pressupostos_Assumpt!C56-Pressupostos_Assumpt!C57)*Pressupostos_Assumpt!C58*Pressupostos_Assumpt!C42*Operacao_Operations!D5</f>
        <v>125.52714646464646</v>
      </c>
      <c r="E27" s="21">
        <f>(E23+E24)*Pressupostos_Assumpt!C42+Pressupostos_Assumpt!C61*MAX(0,Pressupostos_Assumpt!C56-Pressupostos_Assumpt!C57)*Pressupostos_Assumpt!C58*Pressupostos_Assumpt!C42*Operacao_Operations!E5</f>
        <v>125.52714646464646</v>
      </c>
      <c r="F27" s="21">
        <f>(F23+F24)*Pressupostos_Assumpt!C42+Pressupostos_Assumpt!C61*MAX(0,Pressupostos_Assumpt!C56-Pressupostos_Assumpt!C57)*Pressupostos_Assumpt!C58*Pressupostos_Assumpt!C42*Operacao_Operations!F5</f>
        <v>125.52714646464646</v>
      </c>
      <c r="G27" s="21">
        <f>(G23+G24)*Pressupostos_Assumpt!C42+Pressupostos_Assumpt!C61*MAX(0,Pressupostos_Assumpt!C56-Pressupostos_Assumpt!C57)*Pressupostos_Assumpt!C58*Pressupostos_Assumpt!C42*Operacao_Operations!G5</f>
        <v>125.52714646464646</v>
      </c>
      <c r="H27" s="21">
        <f>(H23+H24)*Pressupostos_Assumpt!C42+Pressupostos_Assumpt!C61*MAX(0,Pressupostos_Assumpt!C56-Pressupostos_Assumpt!C57)*Pressupostos_Assumpt!C58*Pressupostos_Assumpt!C42*Operacao_Operations!H5</f>
        <v>125.52714646464646</v>
      </c>
      <c r="I27" s="21">
        <f>(I23+I24)*Pressupostos_Assumpt!C42+Pressupostos_Assumpt!C61*MAX(0,Pressupostos_Assumpt!C56-Pressupostos_Assumpt!C57)*Pressupostos_Assumpt!C58*Pressupostos_Assumpt!C42*Operacao_Operations!I5</f>
        <v>125.52714646464646</v>
      </c>
      <c r="J27" s="21">
        <f>(J23+J24)*Pressupostos_Assumpt!C42+Pressupostos_Assumpt!C61*MAX(0,Pressupostos_Assumpt!C56-Pressupostos_Assumpt!C57)*Pressupostos_Assumpt!C58*Pressupostos_Assumpt!C42*Operacao_Operations!J5</f>
        <v>125.52714646464646</v>
      </c>
      <c r="K27" s="21">
        <f>(K23+K24)*Pressupostos_Assumpt!C42+Pressupostos_Assumpt!C61*MAX(0,Pressupostos_Assumpt!C56-Pressupostos_Assumpt!C57)*Pressupostos_Assumpt!C58*Pressupostos_Assumpt!C42*Operacao_Operations!K5</f>
        <v>552.31944444444446</v>
      </c>
      <c r="L27" s="21">
        <f>(L23+L24)*Pressupostos_Assumpt!C42+Pressupostos_Assumpt!C61*MAX(0,Pressupostos_Assumpt!C56-Pressupostos_Assumpt!C57)*Pressupostos_Assumpt!C58*Pressupostos_Assumpt!C42*Operacao_Operations!L5</f>
        <v>552.31944444444446</v>
      </c>
      <c r="M27" s="21">
        <f>(M23+M24)*Pressupostos_Assumpt!D42+Pressupostos_Assumpt!D61*MAX(0,Pressupostos_Assumpt!D56-Pressupostos_Assumpt!D57)*Pressupostos_Assumpt!D58*Pressupostos_Assumpt!D42*Operacao_Operations!M5</f>
        <v>1707.3874999999998</v>
      </c>
      <c r="N27" s="21">
        <f>(N23+N24)*Pressupostos_Assumpt!D42+Pressupostos_Assumpt!D61*MAX(0,Pressupostos_Assumpt!D56-Pressupostos_Assumpt!D57)*Pressupostos_Assumpt!D58*Pressupostos_Assumpt!D42*Operacao_Operations!N5</f>
        <v>1707.3874999999998</v>
      </c>
      <c r="O27" s="21">
        <f>(O23+O24)*Pressupostos_Assumpt!D42+Pressupostos_Assumpt!D61*MAX(0,Pressupostos_Assumpt!D56-Pressupostos_Assumpt!D57)*Pressupostos_Assumpt!D58*Pressupostos_Assumpt!D42*Operacao_Operations!O5</f>
        <v>1707.3874999999998</v>
      </c>
      <c r="P27" s="21">
        <f>(P23+P24)*Pressupostos_Assumpt!D42+Pressupostos_Assumpt!D61*MAX(0,Pressupostos_Assumpt!D56-Pressupostos_Assumpt!D57)*Pressupostos_Assumpt!D58*Pressupostos_Assumpt!D42*Operacao_Operations!P5</f>
        <v>569.12916666666672</v>
      </c>
      <c r="Q27" s="21">
        <f>(Q23+Q24)*Pressupostos_Assumpt!D42+Pressupostos_Assumpt!D61*MAX(0,Pressupostos_Assumpt!D56-Pressupostos_Assumpt!D57)*Pressupostos_Assumpt!D58*Pressupostos_Assumpt!D42*Operacao_Operations!Q5</f>
        <v>569.12916666666672</v>
      </c>
      <c r="R27" s="21">
        <f>(R23+R24)*Pressupostos_Assumpt!D42+Pressupostos_Assumpt!D61*MAX(0,Pressupostos_Assumpt!D56-Pressupostos_Assumpt!D57)*Pressupostos_Assumpt!D58*Pressupostos_Assumpt!D42*Operacao_Operations!R5</f>
        <v>569.12916666666672</v>
      </c>
      <c r="S27" s="21">
        <f t="shared" si="5"/>
        <v>2108.8560606060605</v>
      </c>
      <c r="T27" s="21">
        <f t="shared" si="6"/>
        <v>6829.5499999999993</v>
      </c>
    </row>
    <row r="28" spans="2:20" ht="15" customHeight="1" x14ac:dyDescent="0.2">
      <c r="B28" s="3" t="s">
        <v>303</v>
      </c>
      <c r="C28" s="22">
        <f t="shared" ref="C28:R28" si="8">C26+C27</f>
        <v>684.0625</v>
      </c>
      <c r="D28" s="22">
        <f t="shared" si="8"/>
        <v>684.0625</v>
      </c>
      <c r="E28" s="22">
        <f t="shared" si="8"/>
        <v>684.0625</v>
      </c>
      <c r="F28" s="22">
        <f t="shared" si="8"/>
        <v>684.0625</v>
      </c>
      <c r="G28" s="22">
        <f t="shared" si="8"/>
        <v>684.0625</v>
      </c>
      <c r="H28" s="22">
        <f t="shared" si="8"/>
        <v>684.0625</v>
      </c>
      <c r="I28" s="22">
        <f t="shared" si="8"/>
        <v>684.0625</v>
      </c>
      <c r="J28" s="22">
        <f t="shared" si="8"/>
        <v>684.0625</v>
      </c>
      <c r="K28" s="22">
        <f t="shared" si="8"/>
        <v>3009.875</v>
      </c>
      <c r="L28" s="22">
        <f t="shared" si="8"/>
        <v>3009.875</v>
      </c>
      <c r="M28" s="22">
        <f t="shared" si="8"/>
        <v>9292.3875000000007</v>
      </c>
      <c r="N28" s="22">
        <f t="shared" si="8"/>
        <v>9292.3875000000007</v>
      </c>
      <c r="O28" s="22">
        <f t="shared" si="8"/>
        <v>9292.3875000000007</v>
      </c>
      <c r="P28" s="22">
        <f t="shared" si="8"/>
        <v>3097.4625000000001</v>
      </c>
      <c r="Q28" s="22">
        <f t="shared" si="8"/>
        <v>3097.4625000000001</v>
      </c>
      <c r="R28" s="22">
        <f t="shared" si="8"/>
        <v>3097.4625000000001</v>
      </c>
      <c r="S28" s="22">
        <f t="shared" si="5"/>
        <v>11492.25</v>
      </c>
      <c r="T28" s="22">
        <f t="shared" si="6"/>
        <v>37169.550000000003</v>
      </c>
    </row>
    <row r="30" spans="2:20" ht="18" customHeight="1" x14ac:dyDescent="0.2">
      <c r="B30" s="48" t="s">
        <v>304</v>
      </c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</row>
    <row r="31" spans="2:20" ht="15" customHeight="1" x14ac:dyDescent="0.2">
      <c r="B31" s="2" t="s">
        <v>289</v>
      </c>
      <c r="C31" s="21">
        <f>Pressupostos_Assumpt!C64*Pressupostos_Assumpt!C63*Operacao_Operations!C5</f>
        <v>283.63636363636363</v>
      </c>
      <c r="D31" s="21">
        <f>Pressupostos_Assumpt!C64*Pressupostos_Assumpt!C63*Operacao_Operations!D5</f>
        <v>283.63636363636363</v>
      </c>
      <c r="E31" s="21">
        <f>Pressupostos_Assumpt!C64*Pressupostos_Assumpt!C63*Operacao_Operations!E5</f>
        <v>283.63636363636363</v>
      </c>
      <c r="F31" s="21">
        <f>Pressupostos_Assumpt!C64*Pressupostos_Assumpt!C63*Operacao_Operations!F5</f>
        <v>283.63636363636363</v>
      </c>
      <c r="G31" s="21">
        <f>Pressupostos_Assumpt!C64*Pressupostos_Assumpt!C63*Operacao_Operations!G5</f>
        <v>283.63636363636363</v>
      </c>
      <c r="H31" s="21">
        <f>Pressupostos_Assumpt!C64*Pressupostos_Assumpt!C63*Operacao_Operations!H5</f>
        <v>283.63636363636363</v>
      </c>
      <c r="I31" s="21">
        <f>Pressupostos_Assumpt!C64*Pressupostos_Assumpt!C63*Operacao_Operations!I5</f>
        <v>283.63636363636363</v>
      </c>
      <c r="J31" s="21">
        <f>Pressupostos_Assumpt!C64*Pressupostos_Assumpt!C63*Operacao_Operations!J5</f>
        <v>283.63636363636363</v>
      </c>
      <c r="K31" s="21">
        <f>Pressupostos_Assumpt!C64*Pressupostos_Assumpt!C63*Operacao_Operations!K5</f>
        <v>1248</v>
      </c>
      <c r="L31" s="21">
        <f>Pressupostos_Assumpt!C64*Pressupostos_Assumpt!C63*Operacao_Operations!L5</f>
        <v>1248</v>
      </c>
      <c r="M31" s="21">
        <f>Pressupostos_Assumpt!D64*Pressupostos_Assumpt!D63*Operacao_Operations!M5</f>
        <v>3848</v>
      </c>
      <c r="N31" s="21">
        <f>Pressupostos_Assumpt!D64*Pressupostos_Assumpt!D63*Operacao_Operations!N5</f>
        <v>3848</v>
      </c>
      <c r="O31" s="21">
        <f>Pressupostos_Assumpt!D64*Pressupostos_Assumpt!D63*Operacao_Operations!O5</f>
        <v>3848</v>
      </c>
      <c r="P31" s="21">
        <f>Pressupostos_Assumpt!D64*Pressupostos_Assumpt!D63*Operacao_Operations!P5</f>
        <v>1282.6666666666667</v>
      </c>
      <c r="Q31" s="21">
        <f>Pressupostos_Assumpt!D64*Pressupostos_Assumpt!D63*Operacao_Operations!Q5</f>
        <v>1282.6666666666667</v>
      </c>
      <c r="R31" s="21">
        <f>Pressupostos_Assumpt!D64*Pressupostos_Assumpt!D63*Operacao_Operations!R5</f>
        <v>1282.6666666666667</v>
      </c>
      <c r="S31" s="21">
        <f t="shared" ref="S31:S36" si="9">C31+D31+E31+F31+G31+H31+I31+J31+K31+L31</f>
        <v>4765.0909090909081</v>
      </c>
      <c r="T31" s="21">
        <f t="shared" ref="T31:T36" si="10">M31+N31+O31+P31+Q31+R31</f>
        <v>15391.999999999998</v>
      </c>
    </row>
    <row r="32" spans="2:20" ht="15" customHeight="1" x14ac:dyDescent="0.2">
      <c r="B32" s="2" t="s">
        <v>290</v>
      </c>
      <c r="C32" s="21">
        <f>Pressupostos_Assumpt!C64*Pressupostos_Assumpt!C63*(Pressupostos_Assumpt!C54-1)*Operacao_Operations!C5</f>
        <v>47.272727272727288</v>
      </c>
      <c r="D32" s="21">
        <f>Pressupostos_Assumpt!C64*Pressupostos_Assumpt!C63*(Pressupostos_Assumpt!C54-1)*Operacao_Operations!D5</f>
        <v>47.272727272727288</v>
      </c>
      <c r="E32" s="21">
        <f>Pressupostos_Assumpt!C64*Pressupostos_Assumpt!C63*(Pressupostos_Assumpt!C54-1)*Operacao_Operations!E5</f>
        <v>47.272727272727288</v>
      </c>
      <c r="F32" s="21">
        <f>Pressupostos_Assumpt!C64*Pressupostos_Assumpt!C63*(Pressupostos_Assumpt!C54-1)*Operacao_Operations!F5</f>
        <v>47.272727272727288</v>
      </c>
      <c r="G32" s="21">
        <f>Pressupostos_Assumpt!C64*Pressupostos_Assumpt!C63*(Pressupostos_Assumpt!C54-1)*Operacao_Operations!G5</f>
        <v>47.272727272727288</v>
      </c>
      <c r="H32" s="21">
        <f>Pressupostos_Assumpt!C64*Pressupostos_Assumpt!C63*(Pressupostos_Assumpt!C54-1)*Operacao_Operations!H5</f>
        <v>47.272727272727288</v>
      </c>
      <c r="I32" s="21">
        <f>Pressupostos_Assumpt!C64*Pressupostos_Assumpt!C63*(Pressupostos_Assumpt!C54-1)*Operacao_Operations!I5</f>
        <v>47.272727272727288</v>
      </c>
      <c r="J32" s="21">
        <f>Pressupostos_Assumpt!C64*Pressupostos_Assumpt!C63*(Pressupostos_Assumpt!C54-1)*Operacao_Operations!J5</f>
        <v>47.272727272727288</v>
      </c>
      <c r="K32" s="21">
        <f>Pressupostos_Assumpt!C64*Pressupostos_Assumpt!C63*(Pressupostos_Assumpt!C54-1)*Operacao_Operations!K5</f>
        <v>208.00000000000009</v>
      </c>
      <c r="L32" s="21">
        <f>Pressupostos_Assumpt!C64*Pressupostos_Assumpt!C63*(Pressupostos_Assumpt!C54-1)*Operacao_Operations!L5</f>
        <v>208.00000000000009</v>
      </c>
      <c r="M32" s="21">
        <f>Pressupostos_Assumpt!D64*Pressupostos_Assumpt!D63*(Pressupostos_Assumpt!D54-1)*Operacao_Operations!M5</f>
        <v>641.33333333333371</v>
      </c>
      <c r="N32" s="21">
        <f>Pressupostos_Assumpt!D64*Pressupostos_Assumpt!D63*(Pressupostos_Assumpt!D54-1)*Operacao_Operations!N5</f>
        <v>641.33333333333371</v>
      </c>
      <c r="O32" s="21">
        <f>Pressupostos_Assumpt!D64*Pressupostos_Assumpt!D63*(Pressupostos_Assumpt!D54-1)*Operacao_Operations!O5</f>
        <v>641.33333333333371</v>
      </c>
      <c r="P32" s="21">
        <f>Pressupostos_Assumpt!D64*Pressupostos_Assumpt!D63*(Pressupostos_Assumpt!D54-1)*Operacao_Operations!P5</f>
        <v>213.77777777777789</v>
      </c>
      <c r="Q32" s="21">
        <f>Pressupostos_Assumpt!D64*Pressupostos_Assumpt!D63*(Pressupostos_Assumpt!D54-1)*Operacao_Operations!Q5</f>
        <v>213.77777777777789</v>
      </c>
      <c r="R32" s="21">
        <f>Pressupostos_Assumpt!D64*Pressupostos_Assumpt!D63*(Pressupostos_Assumpt!D54-1)*Operacao_Operations!R5</f>
        <v>213.77777777777789</v>
      </c>
      <c r="S32" s="21">
        <f t="shared" si="9"/>
        <v>794.18181818181858</v>
      </c>
      <c r="T32" s="21">
        <f t="shared" si="10"/>
        <v>2565.3333333333348</v>
      </c>
    </row>
    <row r="33" spans="2:20" ht="15" customHeight="1" x14ac:dyDescent="0.2">
      <c r="B33" s="2" t="s">
        <v>291</v>
      </c>
      <c r="C33" s="21">
        <f>Pressupostos_Assumpt!C64*Pressupostos_Assumpt!C56*Pressupostos_Assumpt!C58*Operacao_Operations!C5</f>
        <v>30</v>
      </c>
      <c r="D33" s="21">
        <f>Pressupostos_Assumpt!C64*Pressupostos_Assumpt!C56*Pressupostos_Assumpt!C58*Operacao_Operations!D5</f>
        <v>30</v>
      </c>
      <c r="E33" s="21">
        <f>Pressupostos_Assumpt!C64*Pressupostos_Assumpt!C56*Pressupostos_Assumpt!C58*Operacao_Operations!E5</f>
        <v>30</v>
      </c>
      <c r="F33" s="21">
        <f>Pressupostos_Assumpt!C64*Pressupostos_Assumpt!C56*Pressupostos_Assumpt!C58*Operacao_Operations!F5</f>
        <v>30</v>
      </c>
      <c r="G33" s="21">
        <f>Pressupostos_Assumpt!C64*Pressupostos_Assumpt!C56*Pressupostos_Assumpt!C58*Operacao_Operations!G5</f>
        <v>30</v>
      </c>
      <c r="H33" s="21">
        <f>Pressupostos_Assumpt!C64*Pressupostos_Assumpt!C56*Pressupostos_Assumpt!C58*Operacao_Operations!H5</f>
        <v>30</v>
      </c>
      <c r="I33" s="21">
        <f>Pressupostos_Assumpt!C64*Pressupostos_Assumpt!C56*Pressupostos_Assumpt!C58*Operacao_Operations!I5</f>
        <v>30</v>
      </c>
      <c r="J33" s="21">
        <f>Pressupostos_Assumpt!C64*Pressupostos_Assumpt!C56*Pressupostos_Assumpt!C58*Operacao_Operations!J5</f>
        <v>30</v>
      </c>
      <c r="K33" s="21">
        <f>Pressupostos_Assumpt!C64*Pressupostos_Assumpt!C56*Pressupostos_Assumpt!C58*Operacao_Operations!K5</f>
        <v>132</v>
      </c>
      <c r="L33" s="21">
        <f>Pressupostos_Assumpt!C64*Pressupostos_Assumpt!C56*Pressupostos_Assumpt!C58*Operacao_Operations!L5</f>
        <v>132</v>
      </c>
      <c r="M33" s="21">
        <f>Pressupostos_Assumpt!D64*Pressupostos_Assumpt!D56*Pressupostos_Assumpt!D58*Operacao_Operations!M5</f>
        <v>396</v>
      </c>
      <c r="N33" s="21">
        <f>Pressupostos_Assumpt!D64*Pressupostos_Assumpt!D56*Pressupostos_Assumpt!D58*Operacao_Operations!N5</f>
        <v>396</v>
      </c>
      <c r="O33" s="21">
        <f>Pressupostos_Assumpt!D64*Pressupostos_Assumpt!D56*Pressupostos_Assumpt!D58*Operacao_Operations!O5</f>
        <v>396</v>
      </c>
      <c r="P33" s="21">
        <f>Pressupostos_Assumpt!D64*Pressupostos_Assumpt!D56*Pressupostos_Assumpt!D58*Operacao_Operations!P5</f>
        <v>132</v>
      </c>
      <c r="Q33" s="21">
        <f>Pressupostos_Assumpt!D64*Pressupostos_Assumpt!D56*Pressupostos_Assumpt!D58*Operacao_Operations!Q5</f>
        <v>132</v>
      </c>
      <c r="R33" s="21">
        <f>Pressupostos_Assumpt!D64*Pressupostos_Assumpt!D56*Pressupostos_Assumpt!D58*Operacao_Operations!R5</f>
        <v>132</v>
      </c>
      <c r="S33" s="21">
        <f t="shared" si="9"/>
        <v>504</v>
      </c>
      <c r="T33" s="21">
        <f t="shared" si="10"/>
        <v>1584</v>
      </c>
    </row>
    <row r="34" spans="2:20" ht="15" customHeight="1" x14ac:dyDescent="0.2">
      <c r="B34" s="3" t="s">
        <v>292</v>
      </c>
      <c r="C34" s="22">
        <f t="shared" ref="C34:R34" si="11">C31+C32+C33</f>
        <v>360.90909090909093</v>
      </c>
      <c r="D34" s="22">
        <f t="shared" si="11"/>
        <v>360.90909090909093</v>
      </c>
      <c r="E34" s="22">
        <f t="shared" si="11"/>
        <v>360.90909090909093</v>
      </c>
      <c r="F34" s="22">
        <f t="shared" si="11"/>
        <v>360.90909090909093</v>
      </c>
      <c r="G34" s="22">
        <f t="shared" si="11"/>
        <v>360.90909090909093</v>
      </c>
      <c r="H34" s="22">
        <f t="shared" si="11"/>
        <v>360.90909090909093</v>
      </c>
      <c r="I34" s="22">
        <f t="shared" si="11"/>
        <v>360.90909090909093</v>
      </c>
      <c r="J34" s="22">
        <f t="shared" si="11"/>
        <v>360.90909090909093</v>
      </c>
      <c r="K34" s="22">
        <f t="shared" si="11"/>
        <v>1588</v>
      </c>
      <c r="L34" s="22">
        <f t="shared" si="11"/>
        <v>1588</v>
      </c>
      <c r="M34" s="22">
        <f t="shared" si="11"/>
        <v>4885.3333333333339</v>
      </c>
      <c r="N34" s="22">
        <f t="shared" si="11"/>
        <v>4885.3333333333339</v>
      </c>
      <c r="O34" s="22">
        <f t="shared" si="11"/>
        <v>4885.3333333333339</v>
      </c>
      <c r="P34" s="22">
        <f t="shared" si="11"/>
        <v>1628.4444444444446</v>
      </c>
      <c r="Q34" s="22">
        <f t="shared" si="11"/>
        <v>1628.4444444444446</v>
      </c>
      <c r="R34" s="22">
        <f t="shared" si="11"/>
        <v>1628.4444444444446</v>
      </c>
      <c r="S34" s="22">
        <f t="shared" si="9"/>
        <v>6063.2727272727279</v>
      </c>
      <c r="T34" s="22">
        <f t="shared" si="10"/>
        <v>19541.333333333336</v>
      </c>
    </row>
    <row r="35" spans="2:20" ht="15" customHeight="1" x14ac:dyDescent="0.2">
      <c r="B35" s="2" t="s">
        <v>293</v>
      </c>
      <c r="C35" s="21">
        <f>(C31+C32)*Pressupostos_Assumpt!C42+Pressupostos_Assumpt!C64*MAX(0,Pressupostos_Assumpt!C56-Pressupostos_Assumpt!C57)*Pressupostos_Assumpt!C58*Pressupostos_Assumpt!C42*Operacao_Operations!C5</f>
        <v>78.590909090909093</v>
      </c>
      <c r="D35" s="21">
        <f>(D31+D32)*Pressupostos_Assumpt!C42+Pressupostos_Assumpt!C64*MAX(0,Pressupostos_Assumpt!C56-Pressupostos_Assumpt!C57)*Pressupostos_Assumpt!C58*Pressupostos_Assumpt!C42*Operacao_Operations!D5</f>
        <v>78.590909090909093</v>
      </c>
      <c r="E35" s="21">
        <f>(E31+E32)*Pressupostos_Assumpt!C42+Pressupostos_Assumpt!C64*MAX(0,Pressupostos_Assumpt!C56-Pressupostos_Assumpt!C57)*Pressupostos_Assumpt!C58*Pressupostos_Assumpt!C42*Operacao_Operations!E5</f>
        <v>78.590909090909093</v>
      </c>
      <c r="F35" s="21">
        <f>(F31+F32)*Pressupostos_Assumpt!C42+Pressupostos_Assumpt!C64*MAX(0,Pressupostos_Assumpt!C56-Pressupostos_Assumpt!C57)*Pressupostos_Assumpt!C58*Pressupostos_Assumpt!C42*Operacao_Operations!F5</f>
        <v>78.590909090909093</v>
      </c>
      <c r="G35" s="21">
        <f>(G31+G32)*Pressupostos_Assumpt!C42+Pressupostos_Assumpt!C64*MAX(0,Pressupostos_Assumpt!C56-Pressupostos_Assumpt!C57)*Pressupostos_Assumpt!C58*Pressupostos_Assumpt!C42*Operacao_Operations!G5</f>
        <v>78.590909090909093</v>
      </c>
      <c r="H35" s="21">
        <f>(H31+H32)*Pressupostos_Assumpt!C42+Pressupostos_Assumpt!C64*MAX(0,Pressupostos_Assumpt!C56-Pressupostos_Assumpt!C57)*Pressupostos_Assumpt!C58*Pressupostos_Assumpt!C42*Operacao_Operations!H5</f>
        <v>78.590909090909093</v>
      </c>
      <c r="I35" s="21">
        <f>(I31+I32)*Pressupostos_Assumpt!C42+Pressupostos_Assumpt!C64*MAX(0,Pressupostos_Assumpt!C56-Pressupostos_Assumpt!C57)*Pressupostos_Assumpt!C58*Pressupostos_Assumpt!C42*Operacao_Operations!I5</f>
        <v>78.590909090909093</v>
      </c>
      <c r="J35" s="21">
        <f>(J31+J32)*Pressupostos_Assumpt!C42+Pressupostos_Assumpt!C64*MAX(0,Pressupostos_Assumpt!C56-Pressupostos_Assumpt!C57)*Pressupostos_Assumpt!C58*Pressupostos_Assumpt!C42*Operacao_Operations!J5</f>
        <v>78.590909090909093</v>
      </c>
      <c r="K35" s="21">
        <f>(K31+K32)*Pressupostos_Assumpt!C42+Pressupostos_Assumpt!C64*MAX(0,Pressupostos_Assumpt!C56-Pressupostos_Assumpt!C57)*Pressupostos_Assumpt!C58*Pressupostos_Assumpt!C42*Operacao_Operations!K5</f>
        <v>345.8</v>
      </c>
      <c r="L35" s="21">
        <f>(L31+L32)*Pressupostos_Assumpt!C42+Pressupostos_Assumpt!C64*MAX(0,Pressupostos_Assumpt!C56-Pressupostos_Assumpt!C57)*Pressupostos_Assumpt!C58*Pressupostos_Assumpt!C42*Operacao_Operations!L5</f>
        <v>345.8</v>
      </c>
      <c r="M35" s="21">
        <f>(M31+M32)*Pressupostos_Assumpt!D42+Pressupostos_Assumpt!D64*MAX(0,Pressupostos_Assumpt!D56-Pressupostos_Assumpt!D57)*Pressupostos_Assumpt!D58*Pressupostos_Assumpt!D42*Operacao_Operations!M5</f>
        <v>1066.2166666666667</v>
      </c>
      <c r="N35" s="21">
        <f>(N31+N32)*Pressupostos_Assumpt!D42+Pressupostos_Assumpt!D64*MAX(0,Pressupostos_Assumpt!D56-Pressupostos_Assumpt!D57)*Pressupostos_Assumpt!D58*Pressupostos_Assumpt!D42*Operacao_Operations!N5</f>
        <v>1066.2166666666667</v>
      </c>
      <c r="O35" s="21">
        <f>(O31+O32)*Pressupostos_Assumpt!D42+Pressupostos_Assumpt!D64*MAX(0,Pressupostos_Assumpt!D56-Pressupostos_Assumpt!D57)*Pressupostos_Assumpt!D58*Pressupostos_Assumpt!D42*Operacao_Operations!O5</f>
        <v>1066.2166666666667</v>
      </c>
      <c r="P35" s="21">
        <f>(P31+P32)*Pressupostos_Assumpt!D42+Pressupostos_Assumpt!D64*MAX(0,Pressupostos_Assumpt!D56-Pressupostos_Assumpt!D57)*Pressupostos_Assumpt!D58*Pressupostos_Assumpt!D42*Operacao_Operations!P5</f>
        <v>355.40555555555557</v>
      </c>
      <c r="Q35" s="21">
        <f>(Q31+Q32)*Pressupostos_Assumpt!D42+Pressupostos_Assumpt!D64*MAX(0,Pressupostos_Assumpt!D56-Pressupostos_Assumpt!D57)*Pressupostos_Assumpt!D58*Pressupostos_Assumpt!D42*Operacao_Operations!Q5</f>
        <v>355.40555555555557</v>
      </c>
      <c r="R35" s="21">
        <f>(R31+R32)*Pressupostos_Assumpt!D42+Pressupostos_Assumpt!D64*MAX(0,Pressupostos_Assumpt!D56-Pressupostos_Assumpt!D57)*Pressupostos_Assumpt!D58*Pressupostos_Assumpt!D42*Operacao_Operations!R5</f>
        <v>355.40555555555557</v>
      </c>
      <c r="S35" s="21">
        <f t="shared" si="9"/>
        <v>1320.3272727272729</v>
      </c>
      <c r="T35" s="21">
        <f t="shared" si="10"/>
        <v>4264.8666666666668</v>
      </c>
    </row>
    <row r="36" spans="2:20" ht="15" customHeight="1" x14ac:dyDescent="0.2">
      <c r="B36" s="3" t="s">
        <v>305</v>
      </c>
      <c r="C36" s="22">
        <f t="shared" ref="C36:R36" si="12">C34+C35</f>
        <v>439.5</v>
      </c>
      <c r="D36" s="22">
        <f t="shared" si="12"/>
        <v>439.5</v>
      </c>
      <c r="E36" s="22">
        <f t="shared" si="12"/>
        <v>439.5</v>
      </c>
      <c r="F36" s="22">
        <f t="shared" si="12"/>
        <v>439.5</v>
      </c>
      <c r="G36" s="22">
        <f t="shared" si="12"/>
        <v>439.5</v>
      </c>
      <c r="H36" s="22">
        <f t="shared" si="12"/>
        <v>439.5</v>
      </c>
      <c r="I36" s="22">
        <f t="shared" si="12"/>
        <v>439.5</v>
      </c>
      <c r="J36" s="22">
        <f t="shared" si="12"/>
        <v>439.5</v>
      </c>
      <c r="K36" s="22">
        <f t="shared" si="12"/>
        <v>1933.8</v>
      </c>
      <c r="L36" s="22">
        <f t="shared" si="12"/>
        <v>1933.8</v>
      </c>
      <c r="M36" s="22">
        <f t="shared" si="12"/>
        <v>5951.5500000000011</v>
      </c>
      <c r="N36" s="22">
        <f t="shared" si="12"/>
        <v>5951.5500000000011</v>
      </c>
      <c r="O36" s="22">
        <f t="shared" si="12"/>
        <v>5951.5500000000011</v>
      </c>
      <c r="P36" s="22">
        <f t="shared" si="12"/>
        <v>1983.8500000000001</v>
      </c>
      <c r="Q36" s="22">
        <f t="shared" si="12"/>
        <v>1983.8500000000001</v>
      </c>
      <c r="R36" s="22">
        <f t="shared" si="12"/>
        <v>1983.8500000000001</v>
      </c>
      <c r="S36" s="22">
        <f t="shared" si="9"/>
        <v>7383.6</v>
      </c>
      <c r="T36" s="22">
        <f t="shared" si="10"/>
        <v>23806.199999999997</v>
      </c>
    </row>
    <row r="38" spans="2:20" ht="18" customHeight="1" x14ac:dyDescent="0.2">
      <c r="B38" s="48" t="s">
        <v>306</v>
      </c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</row>
    <row r="39" spans="2:20" ht="15" customHeight="1" x14ac:dyDescent="0.2">
      <c r="B39" s="2" t="s">
        <v>307</v>
      </c>
      <c r="C39" s="21">
        <f>Operacao_Operations!C16*Pressupostos_Assumpt!C48*Pressupostos_Assumpt!C47/12*Operacao_Operations!C5</f>
        <v>2.5568181818181817</v>
      </c>
      <c r="D39" s="21">
        <f>Operacao_Operations!D16*Pressupostos_Assumpt!C48*Pressupostos_Assumpt!C47/12*Operacao_Operations!D5</f>
        <v>4.2613636363636358</v>
      </c>
      <c r="E39" s="21">
        <f>Operacao_Operations!E16*Pressupostos_Assumpt!C48*Pressupostos_Assumpt!C47/12*Operacao_Operations!E5</f>
        <v>5.9659090909090908</v>
      </c>
      <c r="F39" s="21">
        <f>Operacao_Operations!F16*Pressupostos_Assumpt!C48*Pressupostos_Assumpt!C47/12*Operacao_Operations!F5</f>
        <v>8.0965909090909083</v>
      </c>
      <c r="G39" s="21">
        <f>Operacao_Operations!G16*Pressupostos_Assumpt!C48*Pressupostos_Assumpt!C47/12*Operacao_Operations!G5</f>
        <v>9.8011363636363633</v>
      </c>
      <c r="H39" s="21">
        <f>Operacao_Operations!H16*Pressupostos_Assumpt!C48*Pressupostos_Assumpt!C47/12*Operacao_Operations!H5</f>
        <v>11.505681818181818</v>
      </c>
      <c r="I39" s="21">
        <f>Operacao_Operations!I16*Pressupostos_Assumpt!C48*Pressupostos_Assumpt!C47/12*Operacao_Operations!I5</f>
        <v>12.357954545454545</v>
      </c>
      <c r="J39" s="21">
        <f>Operacao_Operations!J16*Pressupostos_Assumpt!C48*Pressupostos_Assumpt!C47/12*Operacao_Operations!J5</f>
        <v>12.357954545454545</v>
      </c>
      <c r="K39" s="21">
        <f>Operacao_Operations!K16*Pressupostos_Assumpt!C48*Pressupostos_Assumpt!C47/12*Operacao_Operations!K5</f>
        <v>54.375</v>
      </c>
      <c r="L39" s="21">
        <f>Operacao_Operations!L16*Pressupostos_Assumpt!C48*Pressupostos_Assumpt!C47/12*Operacao_Operations!L5</f>
        <v>54.375</v>
      </c>
      <c r="M39" s="21">
        <f>Operacao_Operations!M16*Pressupostos_Assumpt!D48*Pressupostos_Assumpt!D47/12*Operacao_Operations!M5</f>
        <v>163.125</v>
      </c>
      <c r="N39" s="21">
        <f>Operacao_Operations!N16*Pressupostos_Assumpt!D48*Pressupostos_Assumpt!D47/12*Operacao_Operations!N5</f>
        <v>163.125</v>
      </c>
      <c r="O39" s="21">
        <f>Operacao_Operations!O16*Pressupostos_Assumpt!D48*Pressupostos_Assumpt!D47/12*Operacao_Operations!O5</f>
        <v>163.125</v>
      </c>
      <c r="P39" s="21">
        <f>Operacao_Operations!P16*Pressupostos_Assumpt!D48*Pressupostos_Assumpt!D47/12*Operacao_Operations!P5</f>
        <v>54.375</v>
      </c>
      <c r="Q39" s="21">
        <f>Operacao_Operations!Q16*Pressupostos_Assumpt!D48*Pressupostos_Assumpt!D47/12*Operacao_Operations!Q5</f>
        <v>54.375</v>
      </c>
      <c r="R39" s="21">
        <f>Operacao_Operations!R16*Pressupostos_Assumpt!D48*Pressupostos_Assumpt!D47/12*Operacao_Operations!R5</f>
        <v>54.375</v>
      </c>
      <c r="S39" s="21">
        <f>C39+D39+E39+F39+G39+H39+I39+J39+K39+L39</f>
        <v>175.65340909090909</v>
      </c>
      <c r="T39" s="21">
        <f>M39+N39+O39+P39+Q39+R39</f>
        <v>652.5</v>
      </c>
    </row>
    <row r="41" spans="2:20" ht="18" customHeight="1" x14ac:dyDescent="0.2">
      <c r="B41" s="48" t="s">
        <v>308</v>
      </c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</row>
    <row r="42" spans="2:20" ht="15" customHeight="1" x14ac:dyDescent="0.2">
      <c r="B42" s="2" t="s">
        <v>309</v>
      </c>
      <c r="C42" s="21">
        <f t="shared" ref="C42:R42" si="13">C15</f>
        <v>2295.7500000000005</v>
      </c>
      <c r="D42" s="21">
        <f t="shared" si="13"/>
        <v>3826.25</v>
      </c>
      <c r="E42" s="21">
        <f t="shared" si="13"/>
        <v>5356.75</v>
      </c>
      <c r="F42" s="21">
        <f t="shared" si="13"/>
        <v>7269.8750000000009</v>
      </c>
      <c r="G42" s="21">
        <f t="shared" si="13"/>
        <v>8800.375</v>
      </c>
      <c r="H42" s="21">
        <f t="shared" si="13"/>
        <v>10330.875</v>
      </c>
      <c r="I42" s="21">
        <f t="shared" si="13"/>
        <v>11096.125</v>
      </c>
      <c r="J42" s="21">
        <f t="shared" si="13"/>
        <v>11096.125</v>
      </c>
      <c r="K42" s="21">
        <f t="shared" si="13"/>
        <v>48822.950000000012</v>
      </c>
      <c r="L42" s="21">
        <f t="shared" si="13"/>
        <v>48822.950000000012</v>
      </c>
      <c r="M42" s="21">
        <f t="shared" si="13"/>
        <v>146468.85</v>
      </c>
      <c r="N42" s="21">
        <f t="shared" si="13"/>
        <v>146468.85</v>
      </c>
      <c r="O42" s="21">
        <f t="shared" si="13"/>
        <v>146468.85</v>
      </c>
      <c r="P42" s="21">
        <f t="shared" si="13"/>
        <v>48822.950000000012</v>
      </c>
      <c r="Q42" s="21">
        <f t="shared" si="13"/>
        <v>48822.950000000012</v>
      </c>
      <c r="R42" s="21">
        <f t="shared" si="13"/>
        <v>48822.950000000012</v>
      </c>
      <c r="S42" s="21">
        <f t="shared" ref="S42:S47" si="14">C42+D42+E42+F42+G42+H42+I42+J42+K42+L42</f>
        <v>157718.02500000002</v>
      </c>
      <c r="T42" s="21">
        <f t="shared" ref="T42:T47" si="15">M42+N42+O42+P42+Q42+R42</f>
        <v>585875.40000000014</v>
      </c>
    </row>
    <row r="43" spans="2:20" ht="15" customHeight="1" x14ac:dyDescent="0.2">
      <c r="B43" s="2" t="s">
        <v>310</v>
      </c>
      <c r="C43" s="21">
        <f t="shared" ref="C43:R43" si="16">C20</f>
        <v>0</v>
      </c>
      <c r="D43" s="21">
        <f t="shared" si="16"/>
        <v>0</v>
      </c>
      <c r="E43" s="21">
        <f t="shared" si="16"/>
        <v>0</v>
      </c>
      <c r="F43" s="21">
        <f t="shared" si="16"/>
        <v>0</v>
      </c>
      <c r="G43" s="21">
        <f t="shared" si="16"/>
        <v>0</v>
      </c>
      <c r="H43" s="21">
        <f t="shared" si="16"/>
        <v>0</v>
      </c>
      <c r="I43" s="21">
        <f t="shared" si="16"/>
        <v>0</v>
      </c>
      <c r="J43" s="21">
        <f t="shared" si="16"/>
        <v>0</v>
      </c>
      <c r="K43" s="21">
        <f t="shared" si="16"/>
        <v>46748</v>
      </c>
      <c r="L43" s="21">
        <f t="shared" si="16"/>
        <v>46748</v>
      </c>
      <c r="M43" s="21">
        <f t="shared" si="16"/>
        <v>0</v>
      </c>
      <c r="N43" s="21">
        <f t="shared" si="16"/>
        <v>0</v>
      </c>
      <c r="O43" s="21">
        <f t="shared" si="16"/>
        <v>0</v>
      </c>
      <c r="P43" s="21">
        <f t="shared" si="16"/>
        <v>0</v>
      </c>
      <c r="Q43" s="21">
        <f t="shared" si="16"/>
        <v>46748</v>
      </c>
      <c r="R43" s="21">
        <f t="shared" si="16"/>
        <v>46748</v>
      </c>
      <c r="S43" s="21">
        <f t="shared" si="14"/>
        <v>93496</v>
      </c>
      <c r="T43" s="21">
        <f t="shared" si="15"/>
        <v>93496</v>
      </c>
    </row>
    <row r="44" spans="2:20" ht="15" customHeight="1" x14ac:dyDescent="0.2">
      <c r="B44" s="2" t="s">
        <v>311</v>
      </c>
      <c r="C44" s="21">
        <f t="shared" ref="C44:R44" si="17">C28+C36</f>
        <v>1123.5625</v>
      </c>
      <c r="D44" s="21">
        <f t="shared" si="17"/>
        <v>1123.5625</v>
      </c>
      <c r="E44" s="21">
        <f t="shared" si="17"/>
        <v>1123.5625</v>
      </c>
      <c r="F44" s="21">
        <f t="shared" si="17"/>
        <v>1123.5625</v>
      </c>
      <c r="G44" s="21">
        <f t="shared" si="17"/>
        <v>1123.5625</v>
      </c>
      <c r="H44" s="21">
        <f t="shared" si="17"/>
        <v>1123.5625</v>
      </c>
      <c r="I44" s="21">
        <f t="shared" si="17"/>
        <v>1123.5625</v>
      </c>
      <c r="J44" s="21">
        <f t="shared" si="17"/>
        <v>1123.5625</v>
      </c>
      <c r="K44" s="21">
        <f t="shared" si="17"/>
        <v>4943.6750000000002</v>
      </c>
      <c r="L44" s="21">
        <f t="shared" si="17"/>
        <v>4943.6750000000002</v>
      </c>
      <c r="M44" s="21">
        <f t="shared" si="17"/>
        <v>15243.937500000002</v>
      </c>
      <c r="N44" s="21">
        <f t="shared" si="17"/>
        <v>15243.937500000002</v>
      </c>
      <c r="O44" s="21">
        <f t="shared" si="17"/>
        <v>15243.937500000002</v>
      </c>
      <c r="P44" s="21">
        <f t="shared" si="17"/>
        <v>5081.3125</v>
      </c>
      <c r="Q44" s="21">
        <f t="shared" si="17"/>
        <v>5081.3125</v>
      </c>
      <c r="R44" s="21">
        <f t="shared" si="17"/>
        <v>5081.3125</v>
      </c>
      <c r="S44" s="21">
        <f t="shared" si="14"/>
        <v>18875.849999999999</v>
      </c>
      <c r="T44" s="21">
        <f t="shared" si="15"/>
        <v>60975.750000000007</v>
      </c>
    </row>
    <row r="45" spans="2:20" ht="15" customHeight="1" x14ac:dyDescent="0.2">
      <c r="B45" s="2" t="s">
        <v>312</v>
      </c>
      <c r="C45" s="21">
        <f t="shared" ref="C45:R45" si="18">C39</f>
        <v>2.5568181818181817</v>
      </c>
      <c r="D45" s="21">
        <f t="shared" si="18"/>
        <v>4.2613636363636358</v>
      </c>
      <c r="E45" s="21">
        <f t="shared" si="18"/>
        <v>5.9659090909090908</v>
      </c>
      <c r="F45" s="21">
        <f t="shared" si="18"/>
        <v>8.0965909090909083</v>
      </c>
      <c r="G45" s="21">
        <f t="shared" si="18"/>
        <v>9.8011363636363633</v>
      </c>
      <c r="H45" s="21">
        <f t="shared" si="18"/>
        <v>11.505681818181818</v>
      </c>
      <c r="I45" s="21">
        <f t="shared" si="18"/>
        <v>12.357954545454545</v>
      </c>
      <c r="J45" s="21">
        <f t="shared" si="18"/>
        <v>12.357954545454545</v>
      </c>
      <c r="K45" s="21">
        <f t="shared" si="18"/>
        <v>54.375</v>
      </c>
      <c r="L45" s="21">
        <f t="shared" si="18"/>
        <v>54.375</v>
      </c>
      <c r="M45" s="21">
        <f t="shared" si="18"/>
        <v>163.125</v>
      </c>
      <c r="N45" s="21">
        <f t="shared" si="18"/>
        <v>163.125</v>
      </c>
      <c r="O45" s="21">
        <f t="shared" si="18"/>
        <v>163.125</v>
      </c>
      <c r="P45" s="21">
        <f t="shared" si="18"/>
        <v>54.375</v>
      </c>
      <c r="Q45" s="21">
        <f t="shared" si="18"/>
        <v>54.375</v>
      </c>
      <c r="R45" s="21">
        <f t="shared" si="18"/>
        <v>54.375</v>
      </c>
      <c r="S45" s="21">
        <f t="shared" si="14"/>
        <v>175.65340909090909</v>
      </c>
      <c r="T45" s="21">
        <f t="shared" si="15"/>
        <v>652.5</v>
      </c>
    </row>
    <row r="46" spans="2:20" ht="15" customHeight="1" x14ac:dyDescent="0.2">
      <c r="B46" s="3" t="s">
        <v>313</v>
      </c>
      <c r="C46" s="22">
        <f t="shared" ref="C46:R46" si="19">C42+C43+C44+C45</f>
        <v>3421.8693181818185</v>
      </c>
      <c r="D46" s="22">
        <f t="shared" si="19"/>
        <v>4954.073863636364</v>
      </c>
      <c r="E46" s="22">
        <f t="shared" si="19"/>
        <v>6486.278409090909</v>
      </c>
      <c r="F46" s="22">
        <f t="shared" si="19"/>
        <v>8401.5340909090901</v>
      </c>
      <c r="G46" s="22">
        <f t="shared" si="19"/>
        <v>9933.738636363636</v>
      </c>
      <c r="H46" s="22">
        <f t="shared" si="19"/>
        <v>11465.943181818182</v>
      </c>
      <c r="I46" s="22">
        <f t="shared" si="19"/>
        <v>12232.045454545454</v>
      </c>
      <c r="J46" s="22">
        <f t="shared" si="19"/>
        <v>12232.045454545454</v>
      </c>
      <c r="K46" s="22">
        <f t="shared" si="19"/>
        <v>100569.00000000001</v>
      </c>
      <c r="L46" s="22">
        <f t="shared" si="19"/>
        <v>100569.00000000001</v>
      </c>
      <c r="M46" s="22">
        <f t="shared" si="19"/>
        <v>161875.91250000001</v>
      </c>
      <c r="N46" s="22">
        <f t="shared" si="19"/>
        <v>161875.91250000001</v>
      </c>
      <c r="O46" s="22">
        <f t="shared" si="19"/>
        <v>161875.91250000001</v>
      </c>
      <c r="P46" s="22">
        <f t="shared" si="19"/>
        <v>53958.637500000012</v>
      </c>
      <c r="Q46" s="22">
        <f t="shared" si="19"/>
        <v>100706.63750000001</v>
      </c>
      <c r="R46" s="22">
        <f t="shared" si="19"/>
        <v>100706.63750000001</v>
      </c>
      <c r="S46" s="22">
        <f t="shared" si="14"/>
        <v>270265.52840909094</v>
      </c>
      <c r="T46" s="22">
        <f t="shared" si="15"/>
        <v>740999.64999999991</v>
      </c>
    </row>
    <row r="47" spans="2:20" ht="15" customHeight="1" x14ac:dyDescent="0.2">
      <c r="B47" s="2" t="s">
        <v>314</v>
      </c>
      <c r="C47" s="21">
        <f t="shared" ref="C47:R47" si="20">C11+C27+C35+C12+C13</f>
        <v>940.14260101010109</v>
      </c>
      <c r="D47" s="21">
        <f t="shared" si="20"/>
        <v>1430.8256313131312</v>
      </c>
      <c r="E47" s="21">
        <f t="shared" si="20"/>
        <v>1921.5086616161616</v>
      </c>
      <c r="F47" s="21">
        <f t="shared" si="20"/>
        <v>2534.8624494949495</v>
      </c>
      <c r="G47" s="21">
        <f t="shared" si="20"/>
        <v>3025.5454797979796</v>
      </c>
      <c r="H47" s="21">
        <f t="shared" si="20"/>
        <v>3516.2285101010102</v>
      </c>
      <c r="I47" s="21">
        <f t="shared" si="20"/>
        <v>3761.5700252525248</v>
      </c>
      <c r="J47" s="21">
        <f t="shared" si="20"/>
        <v>3761.5700252525248</v>
      </c>
      <c r="K47" s="21">
        <f t="shared" si="20"/>
        <v>16550.908111111115</v>
      </c>
      <c r="L47" s="21">
        <f t="shared" si="20"/>
        <v>16550.908111111115</v>
      </c>
      <c r="M47" s="21">
        <f t="shared" si="20"/>
        <v>49731.970166666666</v>
      </c>
      <c r="N47" s="21">
        <f t="shared" si="20"/>
        <v>49731.970166666666</v>
      </c>
      <c r="O47" s="21">
        <f t="shared" si="20"/>
        <v>49731.970166666666</v>
      </c>
      <c r="P47" s="21">
        <f t="shared" si="20"/>
        <v>16577.323388888894</v>
      </c>
      <c r="Q47" s="21">
        <f t="shared" si="20"/>
        <v>16577.323388888894</v>
      </c>
      <c r="R47" s="21">
        <f t="shared" si="20"/>
        <v>16577.323388888894</v>
      </c>
      <c r="S47" s="21">
        <f t="shared" si="14"/>
        <v>53994.069606060613</v>
      </c>
      <c r="T47" s="21">
        <f t="shared" si="15"/>
        <v>198927.88066666672</v>
      </c>
    </row>
    <row r="50" spans="2:18" ht="15" customHeight="1" x14ac:dyDescent="0.2">
      <c r="B50" s="44" t="s">
        <v>238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</row>
    <row r="51" spans="2:18" ht="15" customHeight="1" x14ac:dyDescent="0.2">
      <c r="C51" s="47" t="s">
        <v>239</v>
      </c>
      <c r="D51" s="47"/>
      <c r="E51" s="47"/>
      <c r="F51" s="47"/>
      <c r="G51" s="47" t="s">
        <v>240</v>
      </c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</row>
    <row r="52" spans="2:18" ht="24" customHeight="1" x14ac:dyDescent="0.2">
      <c r="B52" s="15" t="s">
        <v>241</v>
      </c>
      <c r="C52" s="12" t="s">
        <v>242</v>
      </c>
      <c r="D52" s="12" t="s">
        <v>243</v>
      </c>
      <c r="E52" s="12" t="s">
        <v>244</v>
      </c>
      <c r="F52" s="12" t="s">
        <v>245</v>
      </c>
      <c r="G52" s="12" t="s">
        <v>246</v>
      </c>
      <c r="H52" s="12" t="s">
        <v>247</v>
      </c>
      <c r="I52" s="12" t="s">
        <v>248</v>
      </c>
      <c r="J52" s="12" t="s">
        <v>249</v>
      </c>
      <c r="K52" s="12" t="s">
        <v>250</v>
      </c>
      <c r="L52" s="12" t="s">
        <v>251</v>
      </c>
      <c r="M52" s="12" t="s">
        <v>252</v>
      </c>
      <c r="N52" s="12" t="s">
        <v>253</v>
      </c>
      <c r="O52" s="12" t="s">
        <v>254</v>
      </c>
      <c r="P52" s="12" t="s">
        <v>255</v>
      </c>
      <c r="Q52" s="12" t="s">
        <v>256</v>
      </c>
      <c r="R52" s="12" t="s">
        <v>257</v>
      </c>
    </row>
    <row r="53" spans="2:18" ht="15" customHeight="1" x14ac:dyDescent="0.2">
      <c r="B53" s="2" t="s">
        <v>315</v>
      </c>
      <c r="C53" s="21">
        <f>C42+D42+E42+F42</f>
        <v>18748.625</v>
      </c>
      <c r="D53" s="21">
        <f>G42+H42+I42+J42</f>
        <v>41323.5</v>
      </c>
      <c r="E53" s="21">
        <f t="shared" ref="E53:F57" si="21">K42</f>
        <v>48822.950000000012</v>
      </c>
      <c r="F53" s="21">
        <f t="shared" si="21"/>
        <v>48822.950000000012</v>
      </c>
      <c r="G53" s="21">
        <f>(M42)/3</f>
        <v>48822.950000000004</v>
      </c>
      <c r="H53" s="21">
        <f>(M42)/3</f>
        <v>48822.950000000004</v>
      </c>
      <c r="I53" s="21">
        <f t="shared" ref="I53:J57" si="22">(M42)/3</f>
        <v>48822.950000000004</v>
      </c>
      <c r="J53" s="21">
        <f t="shared" si="22"/>
        <v>48822.950000000004</v>
      </c>
      <c r="K53" s="21">
        <f>(N42)/3</f>
        <v>48822.950000000004</v>
      </c>
      <c r="L53" s="21">
        <f t="shared" ref="L53:M57" si="23">(N42)/3</f>
        <v>48822.950000000004</v>
      </c>
      <c r="M53" s="21">
        <f t="shared" si="23"/>
        <v>48822.950000000004</v>
      </c>
      <c r="N53" s="21">
        <f>(O42)/3</f>
        <v>48822.950000000004</v>
      </c>
      <c r="O53" s="21">
        <f>(O42)/3</f>
        <v>48822.950000000004</v>
      </c>
      <c r="P53" s="21">
        <f t="shared" ref="P53:R57" si="24">P42</f>
        <v>48822.950000000012</v>
      </c>
      <c r="Q53" s="21">
        <f t="shared" si="24"/>
        <v>48822.950000000012</v>
      </c>
      <c r="R53" s="21">
        <f t="shared" si="24"/>
        <v>48822.950000000012</v>
      </c>
    </row>
    <row r="54" spans="2:18" ht="15" customHeight="1" x14ac:dyDescent="0.2">
      <c r="B54" s="2" t="s">
        <v>310</v>
      </c>
      <c r="C54" s="21">
        <f>C43+D43+E43+F43</f>
        <v>0</v>
      </c>
      <c r="D54" s="21">
        <f>G43+H43+I43+J43</f>
        <v>0</v>
      </c>
      <c r="E54" s="21">
        <f t="shared" si="21"/>
        <v>46748</v>
      </c>
      <c r="F54" s="21">
        <f t="shared" si="21"/>
        <v>46748</v>
      </c>
      <c r="G54" s="21">
        <f>(M43)/3</f>
        <v>0</v>
      </c>
      <c r="H54" s="21">
        <f>(M43)/3</f>
        <v>0</v>
      </c>
      <c r="I54" s="21">
        <f t="shared" si="22"/>
        <v>0</v>
      </c>
      <c r="J54" s="21">
        <f t="shared" si="22"/>
        <v>0</v>
      </c>
      <c r="K54" s="21">
        <f>(N43)/3</f>
        <v>0</v>
      </c>
      <c r="L54" s="21">
        <f t="shared" si="23"/>
        <v>0</v>
      </c>
      <c r="M54" s="21">
        <f t="shared" si="23"/>
        <v>0</v>
      </c>
      <c r="N54" s="21">
        <f>(O43)/3</f>
        <v>0</v>
      </c>
      <c r="O54" s="21">
        <f>(O43)/3</f>
        <v>0</v>
      </c>
      <c r="P54" s="21">
        <f t="shared" si="24"/>
        <v>0</v>
      </c>
      <c r="Q54" s="21">
        <f t="shared" si="24"/>
        <v>46748</v>
      </c>
      <c r="R54" s="21">
        <f t="shared" si="24"/>
        <v>46748</v>
      </c>
    </row>
    <row r="55" spans="2:18" ht="15" customHeight="1" x14ac:dyDescent="0.2">
      <c r="B55" s="2" t="s">
        <v>311</v>
      </c>
      <c r="C55" s="21">
        <f>C44+D44+E44+F44</f>
        <v>4494.25</v>
      </c>
      <c r="D55" s="21">
        <f>G44+H44+I44+J44</f>
        <v>4494.25</v>
      </c>
      <c r="E55" s="21">
        <f t="shared" si="21"/>
        <v>4943.6750000000002</v>
      </c>
      <c r="F55" s="21">
        <f t="shared" si="21"/>
        <v>4943.6750000000002</v>
      </c>
      <c r="G55" s="21">
        <f>(M44)/3</f>
        <v>5081.3125000000009</v>
      </c>
      <c r="H55" s="21">
        <f>(M44)/3</f>
        <v>5081.3125000000009</v>
      </c>
      <c r="I55" s="21">
        <f t="shared" si="22"/>
        <v>5081.3125000000009</v>
      </c>
      <c r="J55" s="21">
        <f t="shared" si="22"/>
        <v>5081.3125000000009</v>
      </c>
      <c r="K55" s="21">
        <f>(N44)/3</f>
        <v>5081.3125000000009</v>
      </c>
      <c r="L55" s="21">
        <f t="shared" si="23"/>
        <v>5081.3125000000009</v>
      </c>
      <c r="M55" s="21">
        <f t="shared" si="23"/>
        <v>5081.3125000000009</v>
      </c>
      <c r="N55" s="21">
        <f>(O44)/3</f>
        <v>5081.3125000000009</v>
      </c>
      <c r="O55" s="21">
        <f>(O44)/3</f>
        <v>5081.3125000000009</v>
      </c>
      <c r="P55" s="21">
        <f t="shared" si="24"/>
        <v>5081.3125</v>
      </c>
      <c r="Q55" s="21">
        <f t="shared" si="24"/>
        <v>5081.3125</v>
      </c>
      <c r="R55" s="21">
        <f t="shared" si="24"/>
        <v>5081.3125</v>
      </c>
    </row>
    <row r="56" spans="2:18" ht="15" customHeight="1" x14ac:dyDescent="0.2">
      <c r="B56" s="2" t="s">
        <v>312</v>
      </c>
      <c r="C56" s="21">
        <f>C45+D45+E45+F45</f>
        <v>20.880681818181817</v>
      </c>
      <c r="D56" s="21">
        <f>G45+H45+I45+J45</f>
        <v>46.022727272727273</v>
      </c>
      <c r="E56" s="21">
        <f t="shared" si="21"/>
        <v>54.375</v>
      </c>
      <c r="F56" s="21">
        <f t="shared" si="21"/>
        <v>54.375</v>
      </c>
      <c r="G56" s="21">
        <f>(M45)/3</f>
        <v>54.375</v>
      </c>
      <c r="H56" s="21">
        <f>(M45)/3</f>
        <v>54.375</v>
      </c>
      <c r="I56" s="21">
        <f t="shared" si="22"/>
        <v>54.375</v>
      </c>
      <c r="J56" s="21">
        <f t="shared" si="22"/>
        <v>54.375</v>
      </c>
      <c r="K56" s="21">
        <f>(N45)/3</f>
        <v>54.375</v>
      </c>
      <c r="L56" s="21">
        <f t="shared" si="23"/>
        <v>54.375</v>
      </c>
      <c r="M56" s="21">
        <f t="shared" si="23"/>
        <v>54.375</v>
      </c>
      <c r="N56" s="21">
        <f>(O45)/3</f>
        <v>54.375</v>
      </c>
      <c r="O56" s="21">
        <f>(O45)/3</f>
        <v>54.375</v>
      </c>
      <c r="P56" s="21">
        <f t="shared" si="24"/>
        <v>54.375</v>
      </c>
      <c r="Q56" s="21">
        <f t="shared" si="24"/>
        <v>54.375</v>
      </c>
      <c r="R56" s="21">
        <f t="shared" si="24"/>
        <v>54.375</v>
      </c>
    </row>
    <row r="57" spans="2:18" ht="15" customHeight="1" x14ac:dyDescent="0.2">
      <c r="B57" s="3" t="s">
        <v>313</v>
      </c>
      <c r="C57" s="22">
        <f>C46+D46+E46+F46</f>
        <v>23263.755681818184</v>
      </c>
      <c r="D57" s="22">
        <f>G46+H46+I46+J46</f>
        <v>45863.772727272728</v>
      </c>
      <c r="E57" s="22">
        <f t="shared" si="21"/>
        <v>100569.00000000001</v>
      </c>
      <c r="F57" s="22">
        <f t="shared" si="21"/>
        <v>100569.00000000001</v>
      </c>
      <c r="G57" s="22">
        <f>(M46)/3</f>
        <v>53958.637500000004</v>
      </c>
      <c r="H57" s="22">
        <f>(M46)/3</f>
        <v>53958.637500000004</v>
      </c>
      <c r="I57" s="22">
        <f t="shared" si="22"/>
        <v>53958.637500000004</v>
      </c>
      <c r="J57" s="22">
        <f t="shared" si="22"/>
        <v>53958.637500000004</v>
      </c>
      <c r="K57" s="22">
        <f>(N46)/3</f>
        <v>53958.637500000004</v>
      </c>
      <c r="L57" s="22">
        <f t="shared" si="23"/>
        <v>53958.637500000004</v>
      </c>
      <c r="M57" s="22">
        <f t="shared" si="23"/>
        <v>53958.637500000004</v>
      </c>
      <c r="N57" s="22">
        <f>(O46)/3</f>
        <v>53958.637500000004</v>
      </c>
      <c r="O57" s="22">
        <f>(O46)/3</f>
        <v>53958.637500000004</v>
      </c>
      <c r="P57" s="22">
        <f t="shared" si="24"/>
        <v>53958.637500000012</v>
      </c>
      <c r="Q57" s="22">
        <f t="shared" si="24"/>
        <v>100706.63750000001</v>
      </c>
      <c r="R57" s="22">
        <f t="shared" si="24"/>
        <v>100706.63750000001</v>
      </c>
    </row>
    <row r="60" spans="2:18" ht="15" customHeight="1" x14ac:dyDescent="0.2">
      <c r="B60" s="44" t="s">
        <v>264</v>
      </c>
      <c r="C60" s="44"/>
      <c r="D60" s="44"/>
      <c r="E60" s="44"/>
      <c r="F60" s="44"/>
      <c r="G60" s="44"/>
      <c r="H60" s="44"/>
    </row>
    <row r="61" spans="2:18" ht="15" customHeight="1" x14ac:dyDescent="0.2">
      <c r="C61" s="47" t="s">
        <v>265</v>
      </c>
      <c r="D61" s="47"/>
      <c r="E61" s="47" t="s">
        <v>240</v>
      </c>
      <c r="F61" s="47"/>
      <c r="G61" s="47"/>
      <c r="H61" s="47"/>
    </row>
    <row r="62" spans="2:18" ht="30" customHeight="1" x14ac:dyDescent="0.2">
      <c r="B62" s="15" t="s">
        <v>266</v>
      </c>
      <c r="C62" s="12" t="s">
        <v>267</v>
      </c>
      <c r="D62" s="12" t="s">
        <v>268</v>
      </c>
      <c r="E62" s="12" t="s">
        <v>269</v>
      </c>
      <c r="F62" s="12" t="s">
        <v>270</v>
      </c>
      <c r="G62" s="12" t="s">
        <v>271</v>
      </c>
      <c r="H62" s="12" t="s">
        <v>272</v>
      </c>
    </row>
    <row r="63" spans="2:18" ht="15" customHeight="1" x14ac:dyDescent="0.2">
      <c r="B63" s="2" t="s">
        <v>315</v>
      </c>
      <c r="C63" s="21">
        <f>SUM(C42:F42)</f>
        <v>18748.625</v>
      </c>
      <c r="D63" s="21">
        <f>SUM(G42:L42)</f>
        <v>138969.40000000002</v>
      </c>
      <c r="E63" s="21">
        <f t="shared" ref="E63:G67" si="25">SUM(M42:M42)</f>
        <v>146468.85</v>
      </c>
      <c r="F63" s="21">
        <f t="shared" si="25"/>
        <v>146468.85</v>
      </c>
      <c r="G63" s="21">
        <f t="shared" si="25"/>
        <v>146468.85</v>
      </c>
      <c r="H63" s="21">
        <f>SUM(P42:R42)</f>
        <v>146468.85000000003</v>
      </c>
    </row>
    <row r="64" spans="2:18" ht="15" customHeight="1" x14ac:dyDescent="0.2">
      <c r="B64" s="2" t="s">
        <v>310</v>
      </c>
      <c r="C64" s="21">
        <f>SUM(C43:F43)</f>
        <v>0</v>
      </c>
      <c r="D64" s="21">
        <f>SUM(G43:L43)</f>
        <v>93496</v>
      </c>
      <c r="E64" s="21">
        <f t="shared" si="25"/>
        <v>0</v>
      </c>
      <c r="F64" s="21">
        <f t="shared" si="25"/>
        <v>0</v>
      </c>
      <c r="G64" s="21">
        <f t="shared" si="25"/>
        <v>0</v>
      </c>
      <c r="H64" s="21">
        <f>SUM(P43:R43)</f>
        <v>93496</v>
      </c>
    </row>
    <row r="65" spans="2:8" ht="15" customHeight="1" x14ac:dyDescent="0.2">
      <c r="B65" s="2" t="s">
        <v>311</v>
      </c>
      <c r="C65" s="21">
        <f>SUM(C44:F44)</f>
        <v>4494.25</v>
      </c>
      <c r="D65" s="21">
        <f>SUM(G44:L44)</f>
        <v>14381.599999999999</v>
      </c>
      <c r="E65" s="21">
        <f t="shared" si="25"/>
        <v>15243.937500000002</v>
      </c>
      <c r="F65" s="21">
        <f t="shared" si="25"/>
        <v>15243.937500000002</v>
      </c>
      <c r="G65" s="21">
        <f t="shared" si="25"/>
        <v>15243.937500000002</v>
      </c>
      <c r="H65" s="21">
        <f>SUM(P44:R44)</f>
        <v>15243.9375</v>
      </c>
    </row>
    <row r="66" spans="2:8" ht="15" customHeight="1" x14ac:dyDescent="0.2">
      <c r="B66" s="2" t="s">
        <v>312</v>
      </c>
      <c r="C66" s="21">
        <f>SUM(C45:F45)</f>
        <v>20.880681818181817</v>
      </c>
      <c r="D66" s="21">
        <f>SUM(G45:L45)</f>
        <v>154.77272727272728</v>
      </c>
      <c r="E66" s="21">
        <f t="shared" si="25"/>
        <v>163.125</v>
      </c>
      <c r="F66" s="21">
        <f t="shared" si="25"/>
        <v>163.125</v>
      </c>
      <c r="G66" s="21">
        <f t="shared" si="25"/>
        <v>163.125</v>
      </c>
      <c r="H66" s="21">
        <f>SUM(P45:R45)</f>
        <v>163.125</v>
      </c>
    </row>
    <row r="67" spans="2:8" ht="15" customHeight="1" x14ac:dyDescent="0.2">
      <c r="B67" s="3" t="s">
        <v>313</v>
      </c>
      <c r="C67" s="22">
        <f>SUM(C46:F46)</f>
        <v>23263.755681818184</v>
      </c>
      <c r="D67" s="22">
        <f>SUM(G46:L46)</f>
        <v>247001.77272727276</v>
      </c>
      <c r="E67" s="22">
        <f t="shared" si="25"/>
        <v>161875.91250000001</v>
      </c>
      <c r="F67" s="22">
        <f t="shared" si="25"/>
        <v>161875.91250000001</v>
      </c>
      <c r="G67" s="22">
        <f t="shared" si="25"/>
        <v>161875.91250000001</v>
      </c>
      <c r="H67" s="22">
        <f>SUM(P46:R46)</f>
        <v>255371.91250000003</v>
      </c>
    </row>
  </sheetData>
  <mergeCells count="16">
    <mergeCell ref="B1:T1"/>
    <mergeCell ref="B2:T2"/>
    <mergeCell ref="C3:L3"/>
    <mergeCell ref="M3:R3"/>
    <mergeCell ref="B5:T5"/>
    <mergeCell ref="B17:T17"/>
    <mergeCell ref="B22:T22"/>
    <mergeCell ref="B30:T30"/>
    <mergeCell ref="B38:T38"/>
    <mergeCell ref="B41:T41"/>
    <mergeCell ref="B50:R50"/>
    <mergeCell ref="C51:F51"/>
    <mergeCell ref="G51:R51"/>
    <mergeCell ref="B60:H60"/>
    <mergeCell ref="C61:D61"/>
    <mergeCell ref="E61:H6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T46"/>
  <sheetViews>
    <sheetView showGridLines="0" zoomScale="115" zoomScaleNormal="100" workbookViewId="0">
      <pane xSplit="2" ySplit="3" topLeftCell="C6" activePane="bottomRight" state="frozen"/>
      <selection pane="topRight" activeCell="C1" sqref="C1"/>
      <selection pane="bottomLeft" activeCell="A4" sqref="A4"/>
      <selection pane="bottomRight" activeCell="J28" sqref="J28"/>
    </sheetView>
  </sheetViews>
  <sheetFormatPr baseColWidth="10" defaultColWidth="8.6640625" defaultRowHeight="15" x14ac:dyDescent="0.2"/>
  <cols>
    <col min="1" max="1" width="2.5" customWidth="1"/>
    <col min="2" max="2" width="44" customWidth="1"/>
    <col min="3" max="18" width="9.5" customWidth="1"/>
    <col min="19" max="20" width="12" customWidth="1"/>
  </cols>
  <sheetData>
    <row r="1" spans="2:20" ht="25.5" customHeight="1" x14ac:dyDescent="0.2">
      <c r="B1" s="45" t="s">
        <v>316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</row>
    <row r="2" spans="2:20" ht="15" customHeight="1" x14ac:dyDescent="0.2">
      <c r="C2" s="47" t="s">
        <v>222</v>
      </c>
      <c r="D2" s="47"/>
      <c r="E2" s="47"/>
      <c r="F2" s="47"/>
      <c r="G2" s="47"/>
      <c r="H2" s="47"/>
      <c r="I2" s="47"/>
      <c r="J2" s="47"/>
      <c r="K2" s="47"/>
      <c r="L2" s="47"/>
      <c r="M2" s="47" t="s">
        <v>223</v>
      </c>
      <c r="N2" s="47"/>
      <c r="O2" s="47"/>
      <c r="P2" s="47"/>
      <c r="Q2" s="47"/>
      <c r="R2" s="47"/>
    </row>
    <row r="3" spans="2:20" ht="33.75" customHeight="1" x14ac:dyDescent="0.2">
      <c r="B3" s="15" t="s">
        <v>224</v>
      </c>
      <c r="C3" s="12" t="s">
        <v>202</v>
      </c>
      <c r="D3" s="12" t="s">
        <v>203</v>
      </c>
      <c r="E3" s="12" t="s">
        <v>204</v>
      </c>
      <c r="F3" s="12" t="s">
        <v>205</v>
      </c>
      <c r="G3" s="12" t="s">
        <v>206</v>
      </c>
      <c r="H3" s="12" t="s">
        <v>207</v>
      </c>
      <c r="I3" s="12" t="s">
        <v>208</v>
      </c>
      <c r="J3" s="12" t="s">
        <v>209</v>
      </c>
      <c r="K3" s="12" t="s">
        <v>210</v>
      </c>
      <c r="L3" s="12" t="s">
        <v>211</v>
      </c>
      <c r="M3" s="12" t="s">
        <v>212</v>
      </c>
      <c r="N3" s="12" t="s">
        <v>213</v>
      </c>
      <c r="O3" s="12" t="s">
        <v>214</v>
      </c>
      <c r="P3" s="12" t="s">
        <v>215</v>
      </c>
      <c r="Q3" s="12" t="s">
        <v>216</v>
      </c>
      <c r="R3" s="12" t="s">
        <v>217</v>
      </c>
      <c r="S3" s="12" t="s">
        <v>225</v>
      </c>
      <c r="T3" s="12" t="s">
        <v>226</v>
      </c>
    </row>
    <row r="4" spans="2:20" ht="15" customHeight="1" x14ac:dyDescent="0.2">
      <c r="B4" s="3" t="s">
        <v>317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2:20" ht="15" customHeight="1" x14ac:dyDescent="0.2">
      <c r="B5" s="2" t="s">
        <v>309</v>
      </c>
      <c r="C5" s="21">
        <f>Salarios_Wages!C42</f>
        <v>2295.7500000000005</v>
      </c>
      <c r="D5" s="21">
        <f>Salarios_Wages!D42</f>
        <v>3826.25</v>
      </c>
      <c r="E5" s="21">
        <f>Salarios_Wages!E42</f>
        <v>5356.75</v>
      </c>
      <c r="F5" s="21">
        <f>Salarios_Wages!F42</f>
        <v>7269.8750000000009</v>
      </c>
      <c r="G5" s="21">
        <f>Salarios_Wages!G42</f>
        <v>8800.375</v>
      </c>
      <c r="H5" s="21">
        <f>Salarios_Wages!H42</f>
        <v>10330.875</v>
      </c>
      <c r="I5" s="21">
        <f>Salarios_Wages!I42</f>
        <v>11096.125</v>
      </c>
      <c r="J5" s="21">
        <f>Salarios_Wages!J42</f>
        <v>11096.125</v>
      </c>
      <c r="K5" s="21">
        <f>Salarios_Wages!K42</f>
        <v>48822.950000000012</v>
      </c>
      <c r="L5" s="21">
        <f>Salarios_Wages!L42</f>
        <v>48822.950000000012</v>
      </c>
      <c r="M5" s="21">
        <f>Salarios_Wages!M42</f>
        <v>146468.85</v>
      </c>
      <c r="N5" s="21">
        <f>Salarios_Wages!N42</f>
        <v>146468.85</v>
      </c>
      <c r="O5" s="21">
        <f>Salarios_Wages!O42</f>
        <v>146468.85</v>
      </c>
      <c r="P5" s="21">
        <f>Salarios_Wages!P42</f>
        <v>48822.950000000012</v>
      </c>
      <c r="Q5" s="21">
        <f>Salarios_Wages!Q42</f>
        <v>48822.950000000012</v>
      </c>
      <c r="R5" s="21">
        <f>Salarios_Wages!R42</f>
        <v>48822.950000000012</v>
      </c>
      <c r="S5" s="21">
        <f>C5+D5+E5+F5+G5+H5+I5+J5+K5+L5</f>
        <v>157718.02500000002</v>
      </c>
      <c r="T5" s="21">
        <f>M5+N5+O5+P5+Q5+R5</f>
        <v>585875.40000000014</v>
      </c>
    </row>
    <row r="6" spans="2:20" ht="15" customHeight="1" x14ac:dyDescent="0.2">
      <c r="B6" s="2" t="s">
        <v>310</v>
      </c>
      <c r="C6" s="21">
        <f>Salarios_Wages!C43</f>
        <v>0</v>
      </c>
      <c r="D6" s="21">
        <f>Salarios_Wages!D43</f>
        <v>0</v>
      </c>
      <c r="E6" s="21">
        <f>Salarios_Wages!E43</f>
        <v>0</v>
      </c>
      <c r="F6" s="21">
        <f>Salarios_Wages!F43</f>
        <v>0</v>
      </c>
      <c r="G6" s="21">
        <f>Salarios_Wages!G43</f>
        <v>0</v>
      </c>
      <c r="H6" s="21">
        <f>Salarios_Wages!H43</f>
        <v>0</v>
      </c>
      <c r="I6" s="21">
        <f>Salarios_Wages!I43</f>
        <v>0</v>
      </c>
      <c r="J6" s="21">
        <f>Salarios_Wages!J43</f>
        <v>0</v>
      </c>
      <c r="K6" s="21">
        <f>Salarios_Wages!K43</f>
        <v>46748</v>
      </c>
      <c r="L6" s="21">
        <f>Salarios_Wages!L43</f>
        <v>46748</v>
      </c>
      <c r="M6" s="21">
        <f>Salarios_Wages!M43</f>
        <v>0</v>
      </c>
      <c r="N6" s="21">
        <f>Salarios_Wages!N43</f>
        <v>0</v>
      </c>
      <c r="O6" s="21">
        <f>Salarios_Wages!O43</f>
        <v>0</v>
      </c>
      <c r="P6" s="21">
        <f>Salarios_Wages!P43</f>
        <v>0</v>
      </c>
      <c r="Q6" s="21">
        <f>Salarios_Wages!Q43</f>
        <v>46748</v>
      </c>
      <c r="R6" s="21">
        <f>Salarios_Wages!R43</f>
        <v>46748</v>
      </c>
      <c r="S6" s="21">
        <f>C6+D6+E6+F6+G6+H6+I6+J6+K6+L6</f>
        <v>93496</v>
      </c>
      <c r="T6" s="21">
        <f>M6+N6+O6+P6+Q6+R6</f>
        <v>93496</v>
      </c>
    </row>
    <row r="7" spans="2:20" ht="15" customHeight="1" x14ac:dyDescent="0.2">
      <c r="B7" s="2" t="s">
        <v>311</v>
      </c>
      <c r="C7" s="21">
        <f>Salarios_Wages!C44</f>
        <v>1123.5625</v>
      </c>
      <c r="D7" s="21">
        <f>Salarios_Wages!D44</f>
        <v>1123.5625</v>
      </c>
      <c r="E7" s="21">
        <f>Salarios_Wages!E44</f>
        <v>1123.5625</v>
      </c>
      <c r="F7" s="21">
        <f>Salarios_Wages!F44</f>
        <v>1123.5625</v>
      </c>
      <c r="G7" s="21">
        <f>Salarios_Wages!G44</f>
        <v>1123.5625</v>
      </c>
      <c r="H7" s="21">
        <f>Salarios_Wages!H44</f>
        <v>1123.5625</v>
      </c>
      <c r="I7" s="21">
        <f>Salarios_Wages!I44</f>
        <v>1123.5625</v>
      </c>
      <c r="J7" s="21">
        <f>Salarios_Wages!J44</f>
        <v>1123.5625</v>
      </c>
      <c r="K7" s="21">
        <f>Salarios_Wages!K44</f>
        <v>4943.6750000000002</v>
      </c>
      <c r="L7" s="21">
        <f>Salarios_Wages!L44</f>
        <v>4943.6750000000002</v>
      </c>
      <c r="M7" s="21">
        <f>Salarios_Wages!M44</f>
        <v>15243.937500000002</v>
      </c>
      <c r="N7" s="21">
        <f>Salarios_Wages!N44</f>
        <v>15243.937500000002</v>
      </c>
      <c r="O7" s="21">
        <f>Salarios_Wages!O44</f>
        <v>15243.937500000002</v>
      </c>
      <c r="P7" s="21">
        <f>Salarios_Wages!P44</f>
        <v>5081.3125</v>
      </c>
      <c r="Q7" s="21">
        <f>Salarios_Wages!Q44</f>
        <v>5081.3125</v>
      </c>
      <c r="R7" s="21">
        <f>Salarios_Wages!R44</f>
        <v>5081.3125</v>
      </c>
      <c r="S7" s="21">
        <f>C7+D7+E7+F7+G7+H7+I7+J7+K7+L7</f>
        <v>18875.849999999999</v>
      </c>
      <c r="T7" s="21">
        <f>M7+N7+O7+P7+Q7+R7</f>
        <v>60975.750000000007</v>
      </c>
    </row>
    <row r="8" spans="2:20" ht="15" customHeight="1" x14ac:dyDescent="0.2">
      <c r="B8" s="2" t="s">
        <v>312</v>
      </c>
      <c r="C8" s="21">
        <f>Salarios_Wages!C45</f>
        <v>2.5568181818181817</v>
      </c>
      <c r="D8" s="21">
        <f>Salarios_Wages!D45</f>
        <v>4.2613636363636358</v>
      </c>
      <c r="E8" s="21">
        <f>Salarios_Wages!E45</f>
        <v>5.9659090909090908</v>
      </c>
      <c r="F8" s="21">
        <f>Salarios_Wages!F45</f>
        <v>8.0965909090909083</v>
      </c>
      <c r="G8" s="21">
        <f>Salarios_Wages!G45</f>
        <v>9.8011363636363633</v>
      </c>
      <c r="H8" s="21">
        <f>Salarios_Wages!H45</f>
        <v>11.505681818181818</v>
      </c>
      <c r="I8" s="21">
        <f>Salarios_Wages!I45</f>
        <v>12.357954545454545</v>
      </c>
      <c r="J8" s="21">
        <f>Salarios_Wages!J45</f>
        <v>12.357954545454545</v>
      </c>
      <c r="K8" s="21">
        <f>Salarios_Wages!K45</f>
        <v>54.375</v>
      </c>
      <c r="L8" s="21">
        <f>Salarios_Wages!L45</f>
        <v>54.375</v>
      </c>
      <c r="M8" s="21">
        <f>Salarios_Wages!M45</f>
        <v>163.125</v>
      </c>
      <c r="N8" s="21">
        <f>Salarios_Wages!N45</f>
        <v>163.125</v>
      </c>
      <c r="O8" s="21">
        <f>Salarios_Wages!O45</f>
        <v>163.125</v>
      </c>
      <c r="P8" s="21">
        <f>Salarios_Wages!P45</f>
        <v>54.375</v>
      </c>
      <c r="Q8" s="21">
        <f>Salarios_Wages!Q45</f>
        <v>54.375</v>
      </c>
      <c r="R8" s="21">
        <f>Salarios_Wages!R45</f>
        <v>54.375</v>
      </c>
      <c r="S8" s="21">
        <f>C8+D8+E8+F8+G8+H8+I8+J8+K8+L8</f>
        <v>175.65340909090909</v>
      </c>
      <c r="T8" s="21">
        <f>M8+N8+O8+P8+Q8+R8</f>
        <v>652.5</v>
      </c>
    </row>
    <row r="9" spans="2:20" ht="15" customHeight="1" x14ac:dyDescent="0.2">
      <c r="B9" s="3" t="s">
        <v>318</v>
      </c>
      <c r="C9" s="22">
        <f t="shared" ref="C9:R9" si="0">SUM(C5:C8)</f>
        <v>3421.8693181818185</v>
      </c>
      <c r="D9" s="22">
        <f t="shared" si="0"/>
        <v>4954.073863636364</v>
      </c>
      <c r="E9" s="22">
        <f t="shared" si="0"/>
        <v>6486.278409090909</v>
      </c>
      <c r="F9" s="22">
        <f t="shared" si="0"/>
        <v>8401.5340909090901</v>
      </c>
      <c r="G9" s="22">
        <f t="shared" si="0"/>
        <v>9933.738636363636</v>
      </c>
      <c r="H9" s="22">
        <f t="shared" si="0"/>
        <v>11465.943181818182</v>
      </c>
      <c r="I9" s="22">
        <f t="shared" si="0"/>
        <v>12232.045454545454</v>
      </c>
      <c r="J9" s="22">
        <f t="shared" si="0"/>
        <v>12232.045454545454</v>
      </c>
      <c r="K9" s="22">
        <f t="shared" si="0"/>
        <v>100569.00000000001</v>
      </c>
      <c r="L9" s="22">
        <f t="shared" si="0"/>
        <v>100569.00000000001</v>
      </c>
      <c r="M9" s="22">
        <f t="shared" si="0"/>
        <v>161875.91250000001</v>
      </c>
      <c r="N9" s="22">
        <f t="shared" si="0"/>
        <v>161875.91250000001</v>
      </c>
      <c r="O9" s="22">
        <f t="shared" si="0"/>
        <v>161875.91250000001</v>
      </c>
      <c r="P9" s="22">
        <f t="shared" si="0"/>
        <v>53958.637500000012</v>
      </c>
      <c r="Q9" s="22">
        <f t="shared" si="0"/>
        <v>100706.63750000001</v>
      </c>
      <c r="R9" s="22">
        <f t="shared" si="0"/>
        <v>100706.63750000001</v>
      </c>
      <c r="S9" s="22">
        <f>C9+D9+E9+F9+G9+H9+I9+J9+K9+L9</f>
        <v>270265.52840909094</v>
      </c>
      <c r="T9" s="22">
        <f>M9+N9+O9+P9+Q9+R9</f>
        <v>740999.64999999991</v>
      </c>
    </row>
    <row r="10" spans="2:20" ht="15" customHeight="1" x14ac:dyDescent="0.2">
      <c r="B10" s="3" t="s">
        <v>319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spans="2:20" ht="15" customHeight="1" x14ac:dyDescent="0.2">
      <c r="B11" s="2" t="s">
        <v>320</v>
      </c>
      <c r="C11" s="21">
        <f>Operacao_Operations!C12*Pressupostos_Assumpt!C32*Operacao_Operations!C5</f>
        <v>1090.9090909090908</v>
      </c>
      <c r="D11" s="21">
        <f>Operacao_Operations!D12*Pressupostos_Assumpt!C32*Operacao_Operations!D5</f>
        <v>1818.181818181818</v>
      </c>
      <c r="E11" s="21">
        <f>Operacao_Operations!E12*Pressupostos_Assumpt!C32*Operacao_Operations!E5</f>
        <v>2545.4545454545455</v>
      </c>
      <c r="F11" s="21">
        <f>Operacao_Operations!F12*Pressupostos_Assumpt!C32*Operacao_Operations!F5</f>
        <v>3454.5454545454545</v>
      </c>
      <c r="G11" s="21">
        <f>Operacao_Operations!G12*Pressupostos_Assumpt!C32*Operacao_Operations!G5</f>
        <v>4181.818181818182</v>
      </c>
      <c r="H11" s="21">
        <f>Operacao_Operations!H12*Pressupostos_Assumpt!C32*Operacao_Operations!H5</f>
        <v>4909.090909090909</v>
      </c>
      <c r="I11" s="21">
        <f>Operacao_Operations!I12*Pressupostos_Assumpt!C32*Operacao_Operations!I5</f>
        <v>5272.727272727273</v>
      </c>
      <c r="J11" s="21">
        <f>Operacao_Operations!J12*Pressupostos_Assumpt!C32*Operacao_Operations!J5</f>
        <v>5272.727272727273</v>
      </c>
      <c r="K11" s="21">
        <f>Operacao_Operations!K12*Pressupostos_Assumpt!C32*Operacao_Operations!K5</f>
        <v>23200</v>
      </c>
      <c r="L11" s="21">
        <f>Operacao_Operations!L12*Pressupostos_Assumpt!C32*Operacao_Operations!L5</f>
        <v>23200</v>
      </c>
      <c r="M11" s="21">
        <f>Operacao_Operations!M12*Pressupostos_Assumpt!D32*Operacao_Operations!M5</f>
        <v>69600</v>
      </c>
      <c r="N11" s="21">
        <f>Operacao_Operations!N12*Pressupostos_Assumpt!D32*Operacao_Operations!N5</f>
        <v>69600</v>
      </c>
      <c r="O11" s="21">
        <f>Operacao_Operations!O12*Pressupostos_Assumpt!D32*Operacao_Operations!O5</f>
        <v>69600</v>
      </c>
      <c r="P11" s="21">
        <f>Operacao_Operations!P12*Pressupostos_Assumpt!D32*Operacao_Operations!P5</f>
        <v>23200</v>
      </c>
      <c r="Q11" s="21">
        <f>Operacao_Operations!Q12*Pressupostos_Assumpt!D32*Operacao_Operations!Q5</f>
        <v>23200</v>
      </c>
      <c r="R11" s="21">
        <f>Operacao_Operations!R12*Pressupostos_Assumpt!D32*Operacao_Operations!R5</f>
        <v>23200</v>
      </c>
      <c r="S11" s="21">
        <f t="shared" ref="S11:S16" si="1">C11+D11+E11+F11+G11+H11+I11+J11+K11+L11</f>
        <v>74945.454545454544</v>
      </c>
      <c r="T11" s="21">
        <f t="shared" ref="T11:T16" si="2">M11+N11+O11+P11+Q11+R11</f>
        <v>278400</v>
      </c>
    </row>
    <row r="12" spans="2:20" ht="15" customHeight="1" x14ac:dyDescent="0.2">
      <c r="B12" s="2" t="s">
        <v>321</v>
      </c>
      <c r="C12" s="21">
        <f>Operacao_Operations!C12*Pressupostos_Assumpt!C33*Operacao_Operations!C5</f>
        <v>163.63636363636363</v>
      </c>
      <c r="D12" s="21">
        <f>Operacao_Operations!D12*Pressupostos_Assumpt!C33*Operacao_Operations!D5</f>
        <v>272.72727272727269</v>
      </c>
      <c r="E12" s="21">
        <f>Operacao_Operations!E12*Pressupostos_Assumpt!C33*Operacao_Operations!E5</f>
        <v>381.81818181818181</v>
      </c>
      <c r="F12" s="21">
        <f>Operacao_Operations!F12*Pressupostos_Assumpt!C33*Operacao_Operations!F5</f>
        <v>518.18181818181813</v>
      </c>
      <c r="G12" s="21">
        <f>Operacao_Operations!G12*Pressupostos_Assumpt!C33*Operacao_Operations!G5</f>
        <v>627.27272727272725</v>
      </c>
      <c r="H12" s="21">
        <f>Operacao_Operations!H12*Pressupostos_Assumpt!C33*Operacao_Operations!H5</f>
        <v>736.36363636363637</v>
      </c>
      <c r="I12" s="21">
        <f>Operacao_Operations!I12*Pressupostos_Assumpt!C33*Operacao_Operations!I5</f>
        <v>790.90909090909088</v>
      </c>
      <c r="J12" s="21">
        <f>Operacao_Operations!J12*Pressupostos_Assumpt!C33*Operacao_Operations!J5</f>
        <v>790.90909090909088</v>
      </c>
      <c r="K12" s="21">
        <f>Operacao_Operations!K12*Pressupostos_Assumpt!C33*Operacao_Operations!K5</f>
        <v>3480</v>
      </c>
      <c r="L12" s="21">
        <f>Operacao_Operations!L12*Pressupostos_Assumpt!C33*Operacao_Operations!L5</f>
        <v>3480</v>
      </c>
      <c r="M12" s="21">
        <f>Operacao_Operations!M12*Pressupostos_Assumpt!D33*Operacao_Operations!M5</f>
        <v>10875</v>
      </c>
      <c r="N12" s="21">
        <f>Operacao_Operations!N12*Pressupostos_Assumpt!D33*Operacao_Operations!N5</f>
        <v>10875</v>
      </c>
      <c r="O12" s="21">
        <f>Operacao_Operations!O12*Pressupostos_Assumpt!D33*Operacao_Operations!O5</f>
        <v>10875</v>
      </c>
      <c r="P12" s="21">
        <f>Operacao_Operations!P12*Pressupostos_Assumpt!D33*Operacao_Operations!P5</f>
        <v>3625</v>
      </c>
      <c r="Q12" s="21">
        <f>Operacao_Operations!Q12*Pressupostos_Assumpt!D33*Operacao_Operations!Q5</f>
        <v>3625</v>
      </c>
      <c r="R12" s="21">
        <f>Operacao_Operations!R12*Pressupostos_Assumpt!D33*Operacao_Operations!R5</f>
        <v>3625</v>
      </c>
      <c r="S12" s="21">
        <f t="shared" si="1"/>
        <v>11241.818181818182</v>
      </c>
      <c r="T12" s="21">
        <f t="shared" si="2"/>
        <v>43500</v>
      </c>
    </row>
    <row r="13" spans="2:20" ht="15" customHeight="1" x14ac:dyDescent="0.2">
      <c r="B13" s="2" t="s">
        <v>322</v>
      </c>
      <c r="C13" s="21">
        <f>Operacao_Operations!C12*Pressupostos_Assumpt!C34*Operacao_Operations!C5</f>
        <v>204.54545454545453</v>
      </c>
      <c r="D13" s="21">
        <f>Operacao_Operations!D12*Pressupostos_Assumpt!C34*Operacao_Operations!D5</f>
        <v>340.90909090909088</v>
      </c>
      <c r="E13" s="21">
        <f>Operacao_Operations!E12*Pressupostos_Assumpt!C34*Operacao_Operations!E5</f>
        <v>477.27272727272725</v>
      </c>
      <c r="F13" s="21">
        <f>Operacao_Operations!F12*Pressupostos_Assumpt!C34*Operacao_Operations!F5</f>
        <v>647.72727272727275</v>
      </c>
      <c r="G13" s="21">
        <f>Operacao_Operations!G12*Pressupostos_Assumpt!C34*Operacao_Operations!G5</f>
        <v>784.09090909090901</v>
      </c>
      <c r="H13" s="21">
        <f>Operacao_Operations!H12*Pressupostos_Assumpt!C34*Operacao_Operations!H5</f>
        <v>920.45454545454538</v>
      </c>
      <c r="I13" s="21">
        <f>Operacao_Operations!I12*Pressupostos_Assumpt!C34*Operacao_Operations!I5</f>
        <v>988.63636363636363</v>
      </c>
      <c r="J13" s="21">
        <f>Operacao_Operations!J12*Pressupostos_Assumpt!C34*Operacao_Operations!J5</f>
        <v>988.63636363636363</v>
      </c>
      <c r="K13" s="21">
        <f>Operacao_Operations!K12*Pressupostos_Assumpt!C34*Operacao_Operations!K5</f>
        <v>4350</v>
      </c>
      <c r="L13" s="21">
        <f>Operacao_Operations!L12*Pressupostos_Assumpt!C34*Operacao_Operations!L5</f>
        <v>4350</v>
      </c>
      <c r="M13" s="21">
        <f>Operacao_Operations!M12*Pressupostos_Assumpt!D34*Operacao_Operations!M5</f>
        <v>13920</v>
      </c>
      <c r="N13" s="21">
        <f>Operacao_Operations!N12*Pressupostos_Assumpt!D34*Operacao_Operations!N5</f>
        <v>13920</v>
      </c>
      <c r="O13" s="21">
        <f>Operacao_Operations!O12*Pressupostos_Assumpt!D34*Operacao_Operations!O5</f>
        <v>13920</v>
      </c>
      <c r="P13" s="21">
        <f>Operacao_Operations!P12*Pressupostos_Assumpt!D34*Operacao_Operations!P5</f>
        <v>4640</v>
      </c>
      <c r="Q13" s="21">
        <f>Operacao_Operations!Q12*Pressupostos_Assumpt!D34*Operacao_Operations!Q5</f>
        <v>4640</v>
      </c>
      <c r="R13" s="21">
        <f>Operacao_Operations!R12*Pressupostos_Assumpt!D34*Operacao_Operations!R5</f>
        <v>4640</v>
      </c>
      <c r="S13" s="21">
        <f t="shared" si="1"/>
        <v>14052.272727272728</v>
      </c>
      <c r="T13" s="21">
        <f t="shared" si="2"/>
        <v>55680</v>
      </c>
    </row>
    <row r="14" spans="2:20" ht="15" customHeight="1" x14ac:dyDescent="0.2">
      <c r="B14" s="2" t="s">
        <v>323</v>
      </c>
      <c r="C14" s="21">
        <f>Operacao_Operations!C13*Pressupostos_Assumpt!C35*Operacao_Operations!C5</f>
        <v>0</v>
      </c>
      <c r="D14" s="21">
        <f>Operacao_Operations!D13*Pressupostos_Assumpt!C35*Operacao_Operations!D5</f>
        <v>0</v>
      </c>
      <c r="E14" s="21">
        <f>Operacao_Operations!E13*Pressupostos_Assumpt!C35*Operacao_Operations!E5</f>
        <v>0</v>
      </c>
      <c r="F14" s="21">
        <f>Operacao_Operations!F13*Pressupostos_Assumpt!C35*Operacao_Operations!F5</f>
        <v>0</v>
      </c>
      <c r="G14" s="21">
        <f>Operacao_Operations!G13*Pressupostos_Assumpt!C35*Operacao_Operations!G5</f>
        <v>0</v>
      </c>
      <c r="H14" s="21">
        <f>Operacao_Operations!H13*Pressupostos_Assumpt!C35*Operacao_Operations!H5</f>
        <v>0</v>
      </c>
      <c r="I14" s="21">
        <f>Operacao_Operations!I13*Pressupostos_Assumpt!C35*Operacao_Operations!I5</f>
        <v>0</v>
      </c>
      <c r="J14" s="21">
        <f>Operacao_Operations!J13*Pressupostos_Assumpt!C35*Operacao_Operations!J5</f>
        <v>0</v>
      </c>
      <c r="K14" s="21">
        <f>Operacao_Operations!K13*Pressupostos_Assumpt!C35*Operacao_Operations!K5</f>
        <v>40600</v>
      </c>
      <c r="L14" s="21">
        <f>Operacao_Operations!L13*Pressupostos_Assumpt!C35*Operacao_Operations!L5</f>
        <v>40600</v>
      </c>
      <c r="M14" s="21">
        <f>Operacao_Operations!M13*Pressupostos_Assumpt!D35*Operacao_Operations!M5</f>
        <v>0</v>
      </c>
      <c r="N14" s="21">
        <f>Operacao_Operations!N13*Pressupostos_Assumpt!D35*Operacao_Operations!N5</f>
        <v>0</v>
      </c>
      <c r="O14" s="21">
        <f>Operacao_Operations!O13*Pressupostos_Assumpt!D35*Operacao_Operations!O5</f>
        <v>0</v>
      </c>
      <c r="P14" s="21">
        <f>Operacao_Operations!P13*Pressupostos_Assumpt!D35*Operacao_Operations!P5</f>
        <v>0</v>
      </c>
      <c r="Q14" s="21">
        <f>Operacao_Operations!Q13*Pressupostos_Assumpt!D35*Operacao_Operations!Q5</f>
        <v>42050</v>
      </c>
      <c r="R14" s="21">
        <f>Operacao_Operations!R13*Pressupostos_Assumpt!D35*Operacao_Operations!R5</f>
        <v>42050</v>
      </c>
      <c r="S14" s="21">
        <f t="shared" si="1"/>
        <v>81200</v>
      </c>
      <c r="T14" s="21">
        <f t="shared" si="2"/>
        <v>84100</v>
      </c>
    </row>
    <row r="15" spans="2:20" ht="15" customHeight="1" x14ac:dyDescent="0.2">
      <c r="B15" s="2" t="s">
        <v>112</v>
      </c>
      <c r="C15" s="21">
        <f>Pressupostos_Assumpt!C36*Operacao_Operations!C5</f>
        <v>22.727272727272727</v>
      </c>
      <c r="D15" s="21">
        <f>Pressupostos_Assumpt!C36*Operacao_Operations!D5</f>
        <v>22.727272727272727</v>
      </c>
      <c r="E15" s="21">
        <f>Pressupostos_Assumpt!C36*Operacao_Operations!E5</f>
        <v>22.727272727272727</v>
      </c>
      <c r="F15" s="21">
        <f>Pressupostos_Assumpt!C36*Operacao_Operations!F5</f>
        <v>22.727272727272727</v>
      </c>
      <c r="G15" s="21">
        <f>Pressupostos_Assumpt!C36*Operacao_Operations!G5</f>
        <v>22.727272727272727</v>
      </c>
      <c r="H15" s="21">
        <f>Pressupostos_Assumpt!C36*Operacao_Operations!H5</f>
        <v>22.727272727272727</v>
      </c>
      <c r="I15" s="21">
        <f>Pressupostos_Assumpt!C36*Operacao_Operations!I5</f>
        <v>22.727272727272727</v>
      </c>
      <c r="J15" s="21">
        <f>Pressupostos_Assumpt!C36*Operacao_Operations!J5</f>
        <v>22.727272727272727</v>
      </c>
      <c r="K15" s="21">
        <f>Pressupostos_Assumpt!C36*Operacao_Operations!K5</f>
        <v>100</v>
      </c>
      <c r="L15" s="21">
        <f>Pressupostos_Assumpt!C36*Operacao_Operations!L5</f>
        <v>100</v>
      </c>
      <c r="M15" s="21">
        <f>Pressupostos_Assumpt!D36*Operacao_Operations!M5</f>
        <v>300</v>
      </c>
      <c r="N15" s="21">
        <f>Pressupostos_Assumpt!D36*Operacao_Operations!N5</f>
        <v>300</v>
      </c>
      <c r="O15" s="21">
        <f>Pressupostos_Assumpt!D36*Operacao_Operations!O5</f>
        <v>300</v>
      </c>
      <c r="P15" s="21">
        <f>Pressupostos_Assumpt!D36*Operacao_Operations!P5</f>
        <v>100</v>
      </c>
      <c r="Q15" s="21">
        <f>Pressupostos_Assumpt!D36*Operacao_Operations!Q5</f>
        <v>100</v>
      </c>
      <c r="R15" s="21">
        <f>Pressupostos_Assumpt!D36*Operacao_Operations!R5</f>
        <v>100</v>
      </c>
      <c r="S15" s="21">
        <f t="shared" si="1"/>
        <v>381.81818181818176</v>
      </c>
      <c r="T15" s="21">
        <f t="shared" si="2"/>
        <v>1200</v>
      </c>
    </row>
    <row r="16" spans="2:20" ht="15" customHeight="1" x14ac:dyDescent="0.2">
      <c r="B16" s="3" t="s">
        <v>324</v>
      </c>
      <c r="C16" s="22">
        <f t="shared" ref="C16:R16" si="3">SUM(C11:C15)</f>
        <v>1481.8181818181818</v>
      </c>
      <c r="D16" s="22">
        <f t="shared" si="3"/>
        <v>2454.545454545454</v>
      </c>
      <c r="E16" s="22">
        <f t="shared" si="3"/>
        <v>3427.2727272727275</v>
      </c>
      <c r="F16" s="22">
        <f t="shared" si="3"/>
        <v>4643.181818181818</v>
      </c>
      <c r="G16" s="22">
        <f t="shared" si="3"/>
        <v>5615.909090909091</v>
      </c>
      <c r="H16" s="22">
        <f t="shared" si="3"/>
        <v>6588.6363636363631</v>
      </c>
      <c r="I16" s="22">
        <f t="shared" si="3"/>
        <v>7075.0000000000009</v>
      </c>
      <c r="J16" s="22">
        <f t="shared" si="3"/>
        <v>7075.0000000000009</v>
      </c>
      <c r="K16" s="22">
        <f t="shared" si="3"/>
        <v>71730</v>
      </c>
      <c r="L16" s="22">
        <f t="shared" si="3"/>
        <v>71730</v>
      </c>
      <c r="M16" s="22">
        <f t="shared" si="3"/>
        <v>94695</v>
      </c>
      <c r="N16" s="22">
        <f t="shared" si="3"/>
        <v>94695</v>
      </c>
      <c r="O16" s="22">
        <f t="shared" si="3"/>
        <v>94695</v>
      </c>
      <c r="P16" s="22">
        <f t="shared" si="3"/>
        <v>31565</v>
      </c>
      <c r="Q16" s="22">
        <f t="shared" si="3"/>
        <v>73615</v>
      </c>
      <c r="R16" s="22">
        <f t="shared" si="3"/>
        <v>73615</v>
      </c>
      <c r="S16" s="22">
        <f t="shared" si="1"/>
        <v>181821.36363636365</v>
      </c>
      <c r="T16" s="22">
        <f t="shared" si="2"/>
        <v>462880</v>
      </c>
    </row>
    <row r="17" spans="2:20" ht="15" customHeight="1" x14ac:dyDescent="0.2">
      <c r="B17" s="3" t="s">
        <v>325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spans="2:20" ht="15" customHeight="1" x14ac:dyDescent="0.2">
      <c r="B18" s="2" t="s">
        <v>164</v>
      </c>
      <c r="C18" s="21">
        <f>Pressupostos_Assumpt!C69*Operacao_Operations!C5</f>
        <v>45.454545454545453</v>
      </c>
      <c r="D18" s="21">
        <f>Pressupostos_Assumpt!C69*Operacao_Operations!D5</f>
        <v>45.454545454545453</v>
      </c>
      <c r="E18" s="21">
        <f>Pressupostos_Assumpt!C69*Operacao_Operations!E5</f>
        <v>45.454545454545453</v>
      </c>
      <c r="F18" s="21">
        <f>Pressupostos_Assumpt!C69*Operacao_Operations!F5</f>
        <v>45.454545454545453</v>
      </c>
      <c r="G18" s="21">
        <f>Pressupostos_Assumpt!C69*Operacao_Operations!G5</f>
        <v>45.454545454545453</v>
      </c>
      <c r="H18" s="21">
        <f>Pressupostos_Assumpt!C69*Operacao_Operations!H5</f>
        <v>45.454545454545453</v>
      </c>
      <c r="I18" s="21">
        <f>Pressupostos_Assumpt!C69*Operacao_Operations!I5</f>
        <v>45.454545454545453</v>
      </c>
      <c r="J18" s="21">
        <f>Pressupostos_Assumpt!C69*Operacao_Operations!J5</f>
        <v>45.454545454545453</v>
      </c>
      <c r="K18" s="21">
        <f>Pressupostos_Assumpt!C69*Operacao_Operations!K5</f>
        <v>200</v>
      </c>
      <c r="L18" s="21">
        <f>Pressupostos_Assumpt!C69*Operacao_Operations!L5</f>
        <v>200</v>
      </c>
      <c r="M18" s="21">
        <f>Pressupostos_Assumpt!D69*Operacao_Operations!M5</f>
        <v>618</v>
      </c>
      <c r="N18" s="21">
        <f>Pressupostos_Assumpt!D69*Operacao_Operations!N5</f>
        <v>618</v>
      </c>
      <c r="O18" s="21">
        <f>Pressupostos_Assumpt!D69*Operacao_Operations!O5</f>
        <v>618</v>
      </c>
      <c r="P18" s="21">
        <f>Pressupostos_Assumpt!D69*Operacao_Operations!P5</f>
        <v>206</v>
      </c>
      <c r="Q18" s="21">
        <f>Pressupostos_Assumpt!D69*Operacao_Operations!Q5</f>
        <v>206</v>
      </c>
      <c r="R18" s="21">
        <f>Pressupostos_Assumpt!D69*Operacao_Operations!R5</f>
        <v>206</v>
      </c>
      <c r="S18" s="21">
        <f>C18+D18+E18+F18+G18+H18+I18+J18+K18+L18</f>
        <v>763.63636363636351</v>
      </c>
      <c r="T18" s="21">
        <f>M18+N18+O18+P18+Q18+R18</f>
        <v>2472</v>
      </c>
    </row>
    <row r="19" spans="2:20" ht="15" customHeight="1" x14ac:dyDescent="0.2">
      <c r="B19" s="2" t="s">
        <v>166</v>
      </c>
      <c r="C19" s="21">
        <f>Pressupostos_Assumpt!C70*Operacao_Operations!C5</f>
        <v>56.818181818181813</v>
      </c>
      <c r="D19" s="21">
        <f>Pressupostos_Assumpt!C70*Operacao_Operations!D5</f>
        <v>56.818181818181813</v>
      </c>
      <c r="E19" s="21">
        <f>Pressupostos_Assumpt!C70*Operacao_Operations!E5</f>
        <v>56.818181818181813</v>
      </c>
      <c r="F19" s="21">
        <f>Pressupostos_Assumpt!C70*Operacao_Operations!F5</f>
        <v>56.818181818181813</v>
      </c>
      <c r="G19" s="21">
        <f>Pressupostos_Assumpt!C70*Operacao_Operations!G5</f>
        <v>56.818181818181813</v>
      </c>
      <c r="H19" s="21">
        <f>Pressupostos_Assumpt!C70*Operacao_Operations!H5</f>
        <v>56.818181818181813</v>
      </c>
      <c r="I19" s="21">
        <f>Pressupostos_Assumpt!C70*Operacao_Operations!I5</f>
        <v>56.818181818181813</v>
      </c>
      <c r="J19" s="21">
        <f>Pressupostos_Assumpt!C70*Operacao_Operations!J5</f>
        <v>56.818181818181813</v>
      </c>
      <c r="K19" s="21">
        <f>Pressupostos_Assumpt!C70*Operacao_Operations!K5</f>
        <v>250</v>
      </c>
      <c r="L19" s="21">
        <f>Pressupostos_Assumpt!C70*Operacao_Operations!L5</f>
        <v>250</v>
      </c>
      <c r="M19" s="21">
        <f>Pressupostos_Assumpt!D70*Operacao_Operations!M5</f>
        <v>774</v>
      </c>
      <c r="N19" s="21">
        <f>Pressupostos_Assumpt!D70*Operacao_Operations!N5</f>
        <v>774</v>
      </c>
      <c r="O19" s="21">
        <f>Pressupostos_Assumpt!D70*Operacao_Operations!O5</f>
        <v>774</v>
      </c>
      <c r="P19" s="21">
        <f>Pressupostos_Assumpt!D70*Operacao_Operations!P5</f>
        <v>258</v>
      </c>
      <c r="Q19" s="21">
        <f>Pressupostos_Assumpt!D70*Operacao_Operations!Q5</f>
        <v>258</v>
      </c>
      <c r="R19" s="21">
        <f>Pressupostos_Assumpt!D70*Operacao_Operations!R5</f>
        <v>258</v>
      </c>
      <c r="S19" s="21">
        <f>C19+D19+E19+F19+G19+H19+I19+J19+K19+L19</f>
        <v>954.5454545454545</v>
      </c>
      <c r="T19" s="21">
        <f>M19+N19+O19+P19+Q19+R19</f>
        <v>3096</v>
      </c>
    </row>
    <row r="20" spans="2:20" ht="15" customHeight="1" x14ac:dyDescent="0.2">
      <c r="B20" s="2" t="s">
        <v>326</v>
      </c>
      <c r="C20" s="21">
        <f>Operacao_Operations!C6*Pressupostos_Assumpt!C71*Operacao_Operations!C5</f>
        <v>17.045454545454543</v>
      </c>
      <c r="D20" s="21">
        <f>Operacao_Operations!D6*Pressupostos_Assumpt!C71*Operacao_Operations!D5</f>
        <v>27.272727272727273</v>
      </c>
      <c r="E20" s="21">
        <f>Operacao_Operations!E6*Pressupostos_Assumpt!C71*Operacao_Operations!E5</f>
        <v>40.909090909090907</v>
      </c>
      <c r="F20" s="21">
        <f>Operacao_Operations!F6*Pressupostos_Assumpt!C71*Operacao_Operations!F5</f>
        <v>54.545454545454547</v>
      </c>
      <c r="G20" s="21">
        <f>Operacao_Operations!G6*Pressupostos_Assumpt!C71*Operacao_Operations!G5</f>
        <v>68.181818181818173</v>
      </c>
      <c r="H20" s="21">
        <f>Operacao_Operations!H6*Pressupostos_Assumpt!C71*Operacao_Operations!H5</f>
        <v>78.409090909090907</v>
      </c>
      <c r="I20" s="21">
        <f>Operacao_Operations!I6*Pressupostos_Assumpt!C71*Operacao_Operations!I5</f>
        <v>85.22727272727272</v>
      </c>
      <c r="J20" s="21">
        <f>Operacao_Operations!J6*Pressupostos_Assumpt!C71*Operacao_Operations!J5</f>
        <v>85.22727272727272</v>
      </c>
      <c r="K20" s="21">
        <f>Operacao_Operations!K6*Pressupostos_Assumpt!C71*Operacao_Operations!K5</f>
        <v>750</v>
      </c>
      <c r="L20" s="21">
        <f>Operacao_Operations!L6*Pressupostos_Assumpt!C71*Operacao_Operations!L5</f>
        <v>750</v>
      </c>
      <c r="M20" s="21">
        <f>Operacao_Operations!M6*Pressupostos_Assumpt!D71*Operacao_Operations!M5</f>
        <v>1125</v>
      </c>
      <c r="N20" s="21">
        <f>Operacao_Operations!N6*Pressupostos_Assumpt!D71*Operacao_Operations!N5</f>
        <v>1125</v>
      </c>
      <c r="O20" s="21">
        <f>Operacao_Operations!O6*Pressupostos_Assumpt!D71*Operacao_Operations!O5</f>
        <v>1125</v>
      </c>
      <c r="P20" s="21">
        <f>Operacao_Operations!P6*Pressupostos_Assumpt!D71*Operacao_Operations!P5</f>
        <v>375</v>
      </c>
      <c r="Q20" s="21">
        <f>Operacao_Operations!Q6*Pressupostos_Assumpt!D71*Operacao_Operations!Q5</f>
        <v>750</v>
      </c>
      <c r="R20" s="21">
        <f>Operacao_Operations!R6*Pressupostos_Assumpt!D71*Operacao_Operations!R5</f>
        <v>750</v>
      </c>
      <c r="S20" s="21">
        <f>C20+D20+E20+F20+G20+H20+I20+J20+K20+L20</f>
        <v>1956.818181818182</v>
      </c>
      <c r="T20" s="21">
        <f>M20+N20+O20+P20+Q20+R20</f>
        <v>5250</v>
      </c>
    </row>
    <row r="21" spans="2:20" ht="15" customHeight="1" x14ac:dyDescent="0.2">
      <c r="B21" s="2" t="s">
        <v>327</v>
      </c>
      <c r="C21" s="21">
        <f>Pressupostos_Assumpt!C72*Operacao_Operations!C5</f>
        <v>68.181818181818173</v>
      </c>
      <c r="D21" s="21">
        <f>Pressupostos_Assumpt!C72*Operacao_Operations!D5</f>
        <v>68.181818181818173</v>
      </c>
      <c r="E21" s="21">
        <f>Pressupostos_Assumpt!C72*Operacao_Operations!E5</f>
        <v>68.181818181818173</v>
      </c>
      <c r="F21" s="21">
        <f>Pressupostos_Assumpt!C72*Operacao_Operations!F5</f>
        <v>68.181818181818173</v>
      </c>
      <c r="G21" s="21">
        <f>Pressupostos_Assumpt!C72*Operacao_Operations!G5</f>
        <v>68.181818181818173</v>
      </c>
      <c r="H21" s="21">
        <f>Pressupostos_Assumpt!C72*Operacao_Operations!H5</f>
        <v>68.181818181818173</v>
      </c>
      <c r="I21" s="21">
        <f>Pressupostos_Assumpt!C72*Operacao_Operations!I5</f>
        <v>68.181818181818173</v>
      </c>
      <c r="J21" s="21">
        <f>Pressupostos_Assumpt!C72*Operacao_Operations!J5</f>
        <v>68.181818181818173</v>
      </c>
      <c r="K21" s="21">
        <f>Pressupostos_Assumpt!C72*Operacao_Operations!K5</f>
        <v>300</v>
      </c>
      <c r="L21" s="21">
        <f>Pressupostos_Assumpt!C72*Operacao_Operations!L5</f>
        <v>300</v>
      </c>
      <c r="M21" s="21">
        <f>Pressupostos_Assumpt!D72*Operacao_Operations!M5</f>
        <v>927</v>
      </c>
      <c r="N21" s="21">
        <f>Pressupostos_Assumpt!D72*Operacao_Operations!N5</f>
        <v>927</v>
      </c>
      <c r="O21" s="21">
        <f>Pressupostos_Assumpt!D72*Operacao_Operations!O5</f>
        <v>927</v>
      </c>
      <c r="P21" s="21">
        <f>Pressupostos_Assumpt!D72*Operacao_Operations!P5</f>
        <v>309</v>
      </c>
      <c r="Q21" s="21">
        <f>Pressupostos_Assumpt!D72*Operacao_Operations!Q5</f>
        <v>309</v>
      </c>
      <c r="R21" s="21">
        <f>Pressupostos_Assumpt!D72*Operacao_Operations!R5</f>
        <v>309</v>
      </c>
      <c r="S21" s="21">
        <f>C21+D21+E21+F21+G21+H21+I21+J21+K21+L21</f>
        <v>1145.4545454545455</v>
      </c>
      <c r="T21" s="21">
        <f>M21+N21+O21+P21+Q21+R21</f>
        <v>3708</v>
      </c>
    </row>
    <row r="22" spans="2:20" ht="15" customHeight="1" x14ac:dyDescent="0.2">
      <c r="B22" s="3" t="s">
        <v>328</v>
      </c>
      <c r="C22" s="22">
        <f t="shared" ref="C22:R22" si="4">SUM(C18:C21)</f>
        <v>187.5</v>
      </c>
      <c r="D22" s="22">
        <f t="shared" si="4"/>
        <v>197.72727272727269</v>
      </c>
      <c r="E22" s="22">
        <f t="shared" si="4"/>
        <v>211.36363636363637</v>
      </c>
      <c r="F22" s="22">
        <f t="shared" si="4"/>
        <v>225</v>
      </c>
      <c r="G22" s="22">
        <f t="shared" si="4"/>
        <v>238.63636363636363</v>
      </c>
      <c r="H22" s="22">
        <f t="shared" si="4"/>
        <v>248.86363636363637</v>
      </c>
      <c r="I22" s="22">
        <f t="shared" si="4"/>
        <v>255.68181818181819</v>
      </c>
      <c r="J22" s="22">
        <f t="shared" si="4"/>
        <v>255.68181818181819</v>
      </c>
      <c r="K22" s="22">
        <f t="shared" si="4"/>
        <v>1500</v>
      </c>
      <c r="L22" s="22">
        <f t="shared" si="4"/>
        <v>1500</v>
      </c>
      <c r="M22" s="22">
        <f t="shared" si="4"/>
        <v>3444</v>
      </c>
      <c r="N22" s="22">
        <f t="shared" si="4"/>
        <v>3444</v>
      </c>
      <c r="O22" s="22">
        <f t="shared" si="4"/>
        <v>3444</v>
      </c>
      <c r="P22" s="22">
        <f t="shared" si="4"/>
        <v>1148</v>
      </c>
      <c r="Q22" s="22">
        <f t="shared" si="4"/>
        <v>1523</v>
      </c>
      <c r="R22" s="22">
        <f t="shared" si="4"/>
        <v>1523</v>
      </c>
      <c r="S22" s="22">
        <f>C22+D22+E22+F22+G22+H22+I22+J22+K22+L22</f>
        <v>4820.454545454546</v>
      </c>
      <c r="T22" s="22">
        <f>M22+N22+O22+P22+Q22+R22</f>
        <v>14526</v>
      </c>
    </row>
    <row r="23" spans="2:20" ht="15" customHeight="1" x14ac:dyDescent="0.2">
      <c r="B23" s="3" t="s">
        <v>329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spans="2:20" ht="15" customHeight="1" x14ac:dyDescent="0.2">
      <c r="B24" s="2" t="s">
        <v>330</v>
      </c>
      <c r="C24" s="21">
        <f>Pressupostos_Assumpt!C78*0.25</f>
        <v>500</v>
      </c>
      <c r="D24" s="21">
        <f>Pressupostos_Assumpt!C78*0.25</f>
        <v>500</v>
      </c>
      <c r="E24" s="21">
        <f>Pressupostos_Assumpt!C78*0.25</f>
        <v>500</v>
      </c>
      <c r="F24" s="21">
        <f>Pressupostos_Assumpt!C78*0.25</f>
        <v>500</v>
      </c>
      <c r="G24" s="21">
        <f>Pressupostos_Assumpt!C78*0.25</f>
        <v>500</v>
      </c>
      <c r="H24" s="21">
        <f>Pressupostos_Assumpt!C78*0.25</f>
        <v>500</v>
      </c>
      <c r="I24" s="21">
        <f>Pressupostos_Assumpt!C78*0.25</f>
        <v>500</v>
      </c>
      <c r="J24" s="21">
        <f>Pressupostos_Assumpt!C78*0.25</f>
        <v>500</v>
      </c>
      <c r="K24" s="21">
        <f>Pressupostos_Assumpt!C78*1</f>
        <v>2000</v>
      </c>
      <c r="L24" s="21">
        <f>Pressupostos_Assumpt!C78*1</f>
        <v>2000</v>
      </c>
      <c r="M24" s="21">
        <f>Pressupostos_Assumpt!D78*3</f>
        <v>6180</v>
      </c>
      <c r="N24" s="21">
        <f>Pressupostos_Assumpt!D78*3</f>
        <v>6180</v>
      </c>
      <c r="O24" s="21">
        <f>Pressupostos_Assumpt!D78*3</f>
        <v>6180</v>
      </c>
      <c r="P24" s="21">
        <f>Pressupostos_Assumpt!D78*1</f>
        <v>2060</v>
      </c>
      <c r="Q24" s="21">
        <f>Pressupostos_Assumpt!D78*1</f>
        <v>2060</v>
      </c>
      <c r="R24" s="21">
        <f>Pressupostos_Assumpt!D78*1</f>
        <v>2060</v>
      </c>
      <c r="S24" s="21">
        <f>C24+D24+E24+F24+G24+H24+I24+J24+K24+L24</f>
        <v>8000</v>
      </c>
      <c r="T24" s="21">
        <f>M24+N24+O24+P24+Q24+R24</f>
        <v>24720</v>
      </c>
    </row>
    <row r="25" spans="2:20" ht="15" customHeight="1" x14ac:dyDescent="0.2">
      <c r="B25" s="3" t="s">
        <v>331</v>
      </c>
      <c r="C25" s="22">
        <f t="shared" ref="C25:R25" si="5">SUM(C24:C24)</f>
        <v>500</v>
      </c>
      <c r="D25" s="22">
        <f t="shared" si="5"/>
        <v>500</v>
      </c>
      <c r="E25" s="22">
        <f t="shared" si="5"/>
        <v>500</v>
      </c>
      <c r="F25" s="22">
        <f t="shared" si="5"/>
        <v>500</v>
      </c>
      <c r="G25" s="22">
        <f t="shared" si="5"/>
        <v>500</v>
      </c>
      <c r="H25" s="22">
        <f t="shared" si="5"/>
        <v>500</v>
      </c>
      <c r="I25" s="22">
        <f t="shared" si="5"/>
        <v>500</v>
      </c>
      <c r="J25" s="22">
        <f t="shared" si="5"/>
        <v>500</v>
      </c>
      <c r="K25" s="22">
        <f t="shared" si="5"/>
        <v>2000</v>
      </c>
      <c r="L25" s="22">
        <f t="shared" si="5"/>
        <v>2000</v>
      </c>
      <c r="M25" s="22">
        <f t="shared" si="5"/>
        <v>6180</v>
      </c>
      <c r="N25" s="22">
        <f t="shared" si="5"/>
        <v>6180</v>
      </c>
      <c r="O25" s="22">
        <f t="shared" si="5"/>
        <v>6180</v>
      </c>
      <c r="P25" s="22">
        <f t="shared" si="5"/>
        <v>2060</v>
      </c>
      <c r="Q25" s="22">
        <f t="shared" si="5"/>
        <v>2060</v>
      </c>
      <c r="R25" s="22">
        <f t="shared" si="5"/>
        <v>2060</v>
      </c>
      <c r="S25" s="22">
        <f>C25+D25+E25+F25+G25+H25+I25+J25+K25+L25</f>
        <v>8000</v>
      </c>
      <c r="T25" s="22">
        <f>M25+N25+O25+P25+Q25+R25</f>
        <v>24720</v>
      </c>
    </row>
    <row r="26" spans="2:20" ht="21.75" customHeight="1" x14ac:dyDescent="0.2">
      <c r="B26" s="3" t="s">
        <v>332</v>
      </c>
      <c r="C26" s="22">
        <f t="shared" ref="C26:R26" si="6">C9+C16+C22+C25</f>
        <v>5591.1875</v>
      </c>
      <c r="D26" s="22">
        <f t="shared" si="6"/>
        <v>8106.346590909091</v>
      </c>
      <c r="E26" s="22">
        <f t="shared" si="6"/>
        <v>10624.914772727272</v>
      </c>
      <c r="F26" s="22">
        <f t="shared" si="6"/>
        <v>13769.715909090908</v>
      </c>
      <c r="G26" s="22">
        <f t="shared" si="6"/>
        <v>16288.284090909092</v>
      </c>
      <c r="H26" s="22">
        <f t="shared" si="6"/>
        <v>18803.44318181818</v>
      </c>
      <c r="I26" s="22">
        <f t="shared" si="6"/>
        <v>20062.727272727276</v>
      </c>
      <c r="J26" s="22">
        <f t="shared" si="6"/>
        <v>20062.727272727276</v>
      </c>
      <c r="K26" s="22">
        <f t="shared" si="6"/>
        <v>175799</v>
      </c>
      <c r="L26" s="22">
        <f t="shared" si="6"/>
        <v>175799</v>
      </c>
      <c r="M26" s="22">
        <f t="shared" si="6"/>
        <v>266194.91249999998</v>
      </c>
      <c r="N26" s="22">
        <f t="shared" si="6"/>
        <v>266194.91249999998</v>
      </c>
      <c r="O26" s="22">
        <f t="shared" si="6"/>
        <v>266194.91249999998</v>
      </c>
      <c r="P26" s="22">
        <f t="shared" si="6"/>
        <v>88731.637500000012</v>
      </c>
      <c r="Q26" s="22">
        <f t="shared" si="6"/>
        <v>177904.63750000001</v>
      </c>
      <c r="R26" s="22">
        <f t="shared" si="6"/>
        <v>177904.63750000001</v>
      </c>
      <c r="S26" s="22">
        <f>C26+D26+E26+F26+G26+H26+I26+J26+K26+L26</f>
        <v>464907.34659090912</v>
      </c>
      <c r="T26" s="22">
        <f>M26+N26+O26+P26+Q26+R26</f>
        <v>1243125.6499999999</v>
      </c>
    </row>
    <row r="29" spans="2:20" ht="15" customHeight="1" x14ac:dyDescent="0.2">
      <c r="B29" s="44" t="s">
        <v>238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</row>
    <row r="30" spans="2:20" ht="15" customHeight="1" x14ac:dyDescent="0.2">
      <c r="C30" s="47" t="s">
        <v>239</v>
      </c>
      <c r="D30" s="47"/>
      <c r="E30" s="47"/>
      <c r="F30" s="47"/>
      <c r="G30" s="47" t="s">
        <v>240</v>
      </c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</row>
    <row r="31" spans="2:20" ht="24" customHeight="1" x14ac:dyDescent="0.2">
      <c r="B31" s="15" t="s">
        <v>241</v>
      </c>
      <c r="C31" s="12" t="s">
        <v>242</v>
      </c>
      <c r="D31" s="12" t="s">
        <v>243</v>
      </c>
      <c r="E31" s="12" t="s">
        <v>244</v>
      </c>
      <c r="F31" s="12" t="s">
        <v>245</v>
      </c>
      <c r="G31" s="12" t="s">
        <v>246</v>
      </c>
      <c r="H31" s="12" t="s">
        <v>247</v>
      </c>
      <c r="I31" s="12" t="s">
        <v>248</v>
      </c>
      <c r="J31" s="12" t="s">
        <v>249</v>
      </c>
      <c r="K31" s="12" t="s">
        <v>250</v>
      </c>
      <c r="L31" s="12" t="s">
        <v>251</v>
      </c>
      <c r="M31" s="12" t="s">
        <v>252</v>
      </c>
      <c r="N31" s="12" t="s">
        <v>253</v>
      </c>
      <c r="O31" s="12" t="s">
        <v>254</v>
      </c>
      <c r="P31" s="12" t="s">
        <v>255</v>
      </c>
      <c r="Q31" s="12" t="s">
        <v>256</v>
      </c>
      <c r="R31" s="12" t="s">
        <v>257</v>
      </c>
    </row>
    <row r="32" spans="2:20" ht="15" customHeight="1" x14ac:dyDescent="0.2">
      <c r="B32" s="2" t="s">
        <v>13</v>
      </c>
      <c r="C32" s="21">
        <f>C9+D9+E9+F9</f>
        <v>23263.755681818184</v>
      </c>
      <c r="D32" s="21">
        <f>G9+H9+I9+J9</f>
        <v>45863.772727272728</v>
      </c>
      <c r="E32" s="21">
        <f>K9</f>
        <v>100569.00000000001</v>
      </c>
      <c r="F32" s="21">
        <f>L9</f>
        <v>100569.00000000001</v>
      </c>
      <c r="G32" s="21">
        <f>(M9)/3</f>
        <v>53958.637500000004</v>
      </c>
      <c r="H32" s="21">
        <f>(M9)/3</f>
        <v>53958.637500000004</v>
      </c>
      <c r="I32" s="21">
        <f>(M9)/3</f>
        <v>53958.637500000004</v>
      </c>
      <c r="J32" s="21">
        <f>(N9)/3</f>
        <v>53958.637500000004</v>
      </c>
      <c r="K32" s="21">
        <f>(N9)/3</f>
        <v>53958.637500000004</v>
      </c>
      <c r="L32" s="21">
        <f>(N9)/3</f>
        <v>53958.637500000004</v>
      </c>
      <c r="M32" s="21">
        <f>(O9)/3</f>
        <v>53958.637500000004</v>
      </c>
      <c r="N32" s="21">
        <f>(O9)/3</f>
        <v>53958.637500000004</v>
      </c>
      <c r="O32" s="21">
        <f>(O9)/3</f>
        <v>53958.637500000004</v>
      </c>
      <c r="P32" s="21">
        <f>P9</f>
        <v>53958.637500000012</v>
      </c>
      <c r="Q32" s="21">
        <f>Q9</f>
        <v>100706.63750000001</v>
      </c>
      <c r="R32" s="21">
        <f>R9</f>
        <v>100706.63750000001</v>
      </c>
    </row>
    <row r="33" spans="2:18" ht="15" customHeight="1" x14ac:dyDescent="0.2">
      <c r="B33" s="2" t="s">
        <v>333</v>
      </c>
      <c r="C33" s="21">
        <f>C16+D16+E16+F16</f>
        <v>12006.818181818182</v>
      </c>
      <c r="D33" s="21">
        <f>G16+H16+I16+J16</f>
        <v>26354.545454545456</v>
      </c>
      <c r="E33" s="21">
        <f>K16</f>
        <v>71730</v>
      </c>
      <c r="F33" s="21">
        <f>L16</f>
        <v>71730</v>
      </c>
      <c r="G33" s="21">
        <f>(M16)/3</f>
        <v>31565</v>
      </c>
      <c r="H33" s="21">
        <f>(M16)/3</f>
        <v>31565</v>
      </c>
      <c r="I33" s="21">
        <f>(M16)/3</f>
        <v>31565</v>
      </c>
      <c r="J33" s="21">
        <f>(N16)/3</f>
        <v>31565</v>
      </c>
      <c r="K33" s="21">
        <f>(N16)/3</f>
        <v>31565</v>
      </c>
      <c r="L33" s="21">
        <f>(N16)/3</f>
        <v>31565</v>
      </c>
      <c r="M33" s="21">
        <f>(O16)/3</f>
        <v>31565</v>
      </c>
      <c r="N33" s="21">
        <f>(O16)/3</f>
        <v>31565</v>
      </c>
      <c r="O33" s="21">
        <f>(O16)/3</f>
        <v>31565</v>
      </c>
      <c r="P33" s="21">
        <f>P16</f>
        <v>31565</v>
      </c>
      <c r="Q33" s="21">
        <f>Q16</f>
        <v>73615</v>
      </c>
      <c r="R33" s="21">
        <f>R16</f>
        <v>73615</v>
      </c>
    </row>
    <row r="34" spans="2:18" ht="15" customHeight="1" x14ac:dyDescent="0.2">
      <c r="B34" s="2" t="s">
        <v>334</v>
      </c>
      <c r="C34" s="21">
        <f>C22+D22+E22+F22</f>
        <v>821.59090909090901</v>
      </c>
      <c r="D34" s="21">
        <f>G22+H22+I22+J22</f>
        <v>998.86363636363649</v>
      </c>
      <c r="E34" s="21">
        <f>K22</f>
        <v>1500</v>
      </c>
      <c r="F34" s="21">
        <f>L22</f>
        <v>1500</v>
      </c>
      <c r="G34" s="21">
        <f>(M22)/3</f>
        <v>1148</v>
      </c>
      <c r="H34" s="21">
        <f>(M22)/3</f>
        <v>1148</v>
      </c>
      <c r="I34" s="21">
        <f>(M22)/3</f>
        <v>1148</v>
      </c>
      <c r="J34" s="21">
        <f>(N22)/3</f>
        <v>1148</v>
      </c>
      <c r="K34" s="21">
        <f>(N22)/3</f>
        <v>1148</v>
      </c>
      <c r="L34" s="21">
        <f>(N22)/3</f>
        <v>1148</v>
      </c>
      <c r="M34" s="21">
        <f>(O22)/3</f>
        <v>1148</v>
      </c>
      <c r="N34" s="21">
        <f>(O22)/3</f>
        <v>1148</v>
      </c>
      <c r="O34" s="21">
        <f>(O22)/3</f>
        <v>1148</v>
      </c>
      <c r="P34" s="21">
        <f>P22</f>
        <v>1148</v>
      </c>
      <c r="Q34" s="21">
        <f>Q22</f>
        <v>1523</v>
      </c>
      <c r="R34" s="21">
        <f>R22</f>
        <v>1523</v>
      </c>
    </row>
    <row r="35" spans="2:18" ht="15" customHeight="1" x14ac:dyDescent="0.2">
      <c r="B35" s="2" t="s">
        <v>335</v>
      </c>
      <c r="C35" s="21">
        <f>C25+D25+E25+F25</f>
        <v>2000</v>
      </c>
      <c r="D35" s="21">
        <f>G25+H25+I25+J25</f>
        <v>2000</v>
      </c>
      <c r="E35" s="21">
        <f>K25</f>
        <v>2000</v>
      </c>
      <c r="F35" s="21">
        <f>L25</f>
        <v>2000</v>
      </c>
      <c r="G35" s="21">
        <f>(M25)/3</f>
        <v>2060</v>
      </c>
      <c r="H35" s="21">
        <f>(M25)/3</f>
        <v>2060</v>
      </c>
      <c r="I35" s="21">
        <f>(M25)/3</f>
        <v>2060</v>
      </c>
      <c r="J35" s="21">
        <f>(N25)/3</f>
        <v>2060</v>
      </c>
      <c r="K35" s="21">
        <f>(N25)/3</f>
        <v>2060</v>
      </c>
      <c r="L35" s="21">
        <f>(N25)/3</f>
        <v>2060</v>
      </c>
      <c r="M35" s="21">
        <f>(O25)/3</f>
        <v>2060</v>
      </c>
      <c r="N35" s="21">
        <f>(O25)/3</f>
        <v>2060</v>
      </c>
      <c r="O35" s="21">
        <f>(O25)/3</f>
        <v>2060</v>
      </c>
      <c r="P35" s="21">
        <f t="shared" ref="P35:R36" si="7">P25</f>
        <v>2060</v>
      </c>
      <c r="Q35" s="21">
        <f t="shared" si="7"/>
        <v>2060</v>
      </c>
      <c r="R35" s="21">
        <f t="shared" si="7"/>
        <v>2060</v>
      </c>
    </row>
    <row r="36" spans="2:18" ht="15" customHeight="1" x14ac:dyDescent="0.2">
      <c r="B36" s="3" t="s">
        <v>336</v>
      </c>
      <c r="C36" s="22">
        <f>C26+D26+E26+F26</f>
        <v>38092.164772727272</v>
      </c>
      <c r="D36" s="22">
        <f>G26+H26+I26+J26</f>
        <v>75217.181818181823</v>
      </c>
      <c r="E36" s="22">
        <f>K26</f>
        <v>175799</v>
      </c>
      <c r="F36" s="22">
        <f>L26</f>
        <v>175799</v>
      </c>
      <c r="G36" s="22">
        <f>(M26)/3</f>
        <v>88731.637499999997</v>
      </c>
      <c r="H36" s="22">
        <f>(M26)/3</f>
        <v>88731.637499999997</v>
      </c>
      <c r="I36" s="22">
        <f>(M26)/3</f>
        <v>88731.637499999997</v>
      </c>
      <c r="J36" s="22">
        <f>(N26)/3</f>
        <v>88731.637499999997</v>
      </c>
      <c r="K36" s="22">
        <f>(N26)/3</f>
        <v>88731.637499999997</v>
      </c>
      <c r="L36" s="22">
        <f>(N26)/3</f>
        <v>88731.637499999997</v>
      </c>
      <c r="M36" s="22">
        <f>(O26)/3</f>
        <v>88731.637499999997</v>
      </c>
      <c r="N36" s="22">
        <f>(O26)/3</f>
        <v>88731.637499999997</v>
      </c>
      <c r="O36" s="22">
        <f>(O26)/3</f>
        <v>88731.637499999997</v>
      </c>
      <c r="P36" s="22">
        <f t="shared" si="7"/>
        <v>88731.637500000012</v>
      </c>
      <c r="Q36" s="22">
        <f t="shared" si="7"/>
        <v>177904.63750000001</v>
      </c>
      <c r="R36" s="22">
        <f t="shared" si="7"/>
        <v>177904.63750000001</v>
      </c>
    </row>
    <row r="39" spans="2:18" ht="15" customHeight="1" x14ac:dyDescent="0.2">
      <c r="B39" s="44" t="s">
        <v>264</v>
      </c>
      <c r="C39" s="44"/>
      <c r="D39" s="44"/>
      <c r="E39" s="44"/>
      <c r="F39" s="44"/>
      <c r="G39" s="44"/>
      <c r="H39" s="44"/>
    </row>
    <row r="40" spans="2:18" ht="15" customHeight="1" x14ac:dyDescent="0.2">
      <c r="C40" s="47" t="s">
        <v>265</v>
      </c>
      <c r="D40" s="47"/>
      <c r="E40" s="47" t="s">
        <v>240</v>
      </c>
      <c r="F40" s="47"/>
      <c r="G40" s="47"/>
      <c r="H40" s="47"/>
    </row>
    <row r="41" spans="2:18" ht="30" customHeight="1" x14ac:dyDescent="0.2">
      <c r="B41" s="15" t="s">
        <v>266</v>
      </c>
      <c r="C41" s="12" t="s">
        <v>267</v>
      </c>
      <c r="D41" s="12" t="s">
        <v>268</v>
      </c>
      <c r="E41" s="12" t="s">
        <v>269</v>
      </c>
      <c r="F41" s="12" t="s">
        <v>270</v>
      </c>
      <c r="G41" s="12" t="s">
        <v>271</v>
      </c>
      <c r="H41" s="12" t="s">
        <v>272</v>
      </c>
    </row>
    <row r="42" spans="2:18" ht="15" customHeight="1" x14ac:dyDescent="0.2">
      <c r="B42" s="2" t="s">
        <v>13</v>
      </c>
      <c r="C42" s="21">
        <f>SUM(C9:F9)</f>
        <v>23263.755681818184</v>
      </c>
      <c r="D42" s="21">
        <f>SUM(G9:L9)</f>
        <v>247001.77272727276</v>
      </c>
      <c r="E42" s="21">
        <f>SUM(M9:M9)</f>
        <v>161875.91250000001</v>
      </c>
      <c r="F42" s="21">
        <f>SUM(N9:N9)</f>
        <v>161875.91250000001</v>
      </c>
      <c r="G42" s="21">
        <f>SUM(O9:O9)</f>
        <v>161875.91250000001</v>
      </c>
      <c r="H42" s="21">
        <f>SUM(P9:R9)</f>
        <v>255371.91250000003</v>
      </c>
    </row>
    <row r="43" spans="2:18" ht="15" customHeight="1" x14ac:dyDescent="0.2">
      <c r="B43" s="2" t="s">
        <v>333</v>
      </c>
      <c r="C43" s="21">
        <f>SUM(C16:F16)</f>
        <v>12006.818181818182</v>
      </c>
      <c r="D43" s="21">
        <f>SUM(G16:L16)</f>
        <v>169814.54545454547</v>
      </c>
      <c r="E43" s="21">
        <f>SUM(M16:M16)</f>
        <v>94695</v>
      </c>
      <c r="F43" s="21">
        <f>SUM(N16:N16)</f>
        <v>94695</v>
      </c>
      <c r="G43" s="21">
        <f>SUM(O16:O16)</f>
        <v>94695</v>
      </c>
      <c r="H43" s="21">
        <f>SUM(P16:R16)</f>
        <v>178795</v>
      </c>
    </row>
    <row r="44" spans="2:18" ht="15" customHeight="1" x14ac:dyDescent="0.2">
      <c r="B44" s="2" t="s">
        <v>334</v>
      </c>
      <c r="C44" s="21">
        <f>SUM(C22:F22)</f>
        <v>821.59090909090901</v>
      </c>
      <c r="D44" s="21">
        <f>SUM(G22:L22)</f>
        <v>3998.8636363636365</v>
      </c>
      <c r="E44" s="21">
        <f>SUM(M22:M22)</f>
        <v>3444</v>
      </c>
      <c r="F44" s="21">
        <f>SUM(N22:N22)</f>
        <v>3444</v>
      </c>
      <c r="G44" s="21">
        <f>SUM(O22:O22)</f>
        <v>3444</v>
      </c>
      <c r="H44" s="21">
        <f>SUM(P22:R22)</f>
        <v>4194</v>
      </c>
    </row>
    <row r="45" spans="2:18" ht="15" customHeight="1" x14ac:dyDescent="0.2">
      <c r="B45" s="2" t="s">
        <v>335</v>
      </c>
      <c r="C45" s="21">
        <f>SUM(C25:F25)</f>
        <v>2000</v>
      </c>
      <c r="D45" s="21">
        <f>SUM(G25:L25)</f>
        <v>6000</v>
      </c>
      <c r="E45" s="21">
        <f t="shared" ref="E45:G46" si="8">SUM(M25:M25)</f>
        <v>6180</v>
      </c>
      <c r="F45" s="21">
        <f t="shared" si="8"/>
        <v>6180</v>
      </c>
      <c r="G45" s="21">
        <f t="shared" si="8"/>
        <v>6180</v>
      </c>
      <c r="H45" s="21">
        <f>SUM(P25:R25)</f>
        <v>6180</v>
      </c>
    </row>
    <row r="46" spans="2:18" ht="15" customHeight="1" x14ac:dyDescent="0.2">
      <c r="B46" s="3" t="s">
        <v>336</v>
      </c>
      <c r="C46" s="22">
        <f>SUM(C26:F26)</f>
        <v>38092.164772727272</v>
      </c>
      <c r="D46" s="22">
        <f>SUM(G26:L26)</f>
        <v>426815.18181818182</v>
      </c>
      <c r="E46" s="22">
        <f t="shared" si="8"/>
        <v>266194.91249999998</v>
      </c>
      <c r="F46" s="22">
        <f t="shared" si="8"/>
        <v>266194.91249999998</v>
      </c>
      <c r="G46" s="22">
        <f t="shared" si="8"/>
        <v>266194.91249999998</v>
      </c>
      <c r="H46" s="22">
        <f>SUM(P26:R26)</f>
        <v>444540.91250000003</v>
      </c>
    </row>
  </sheetData>
  <mergeCells count="9">
    <mergeCell ref="B39:H39"/>
    <mergeCell ref="C40:D40"/>
    <mergeCell ref="E40:H40"/>
    <mergeCell ref="B1:T1"/>
    <mergeCell ref="C2:L2"/>
    <mergeCell ref="M2:R2"/>
    <mergeCell ref="B29:R29"/>
    <mergeCell ref="C30:F30"/>
    <mergeCell ref="G30:R3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T42"/>
  <sheetViews>
    <sheetView showGridLines="0" zoomScale="174" zoomScaleNormal="100" workbookViewId="0">
      <pane xSplit="2" ySplit="3" topLeftCell="E4" activePane="bottomRight" state="frozen"/>
      <selection pane="topRight" activeCell="C1" sqref="C1"/>
      <selection pane="bottomLeft" activeCell="A4" sqref="A4"/>
      <selection pane="bottomRight" activeCell="Q14" sqref="Q14:R14"/>
    </sheetView>
  </sheetViews>
  <sheetFormatPr baseColWidth="10" defaultColWidth="8.6640625" defaultRowHeight="15" x14ac:dyDescent="0.2"/>
  <cols>
    <col min="1" max="1" width="2.5" customWidth="1"/>
    <col min="2" max="2" width="44" customWidth="1"/>
    <col min="3" max="18" width="9.5" customWidth="1"/>
    <col min="19" max="20" width="12" customWidth="1"/>
  </cols>
  <sheetData>
    <row r="1" spans="2:20" ht="25.5" customHeight="1" x14ac:dyDescent="0.2">
      <c r="B1" s="45" t="s">
        <v>337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</row>
    <row r="2" spans="2:20" ht="15" customHeight="1" x14ac:dyDescent="0.2">
      <c r="C2" s="47" t="s">
        <v>222</v>
      </c>
      <c r="D2" s="47"/>
      <c r="E2" s="47"/>
      <c r="F2" s="47"/>
      <c r="G2" s="47"/>
      <c r="H2" s="47"/>
      <c r="I2" s="47"/>
      <c r="J2" s="47"/>
      <c r="K2" s="47"/>
      <c r="L2" s="47"/>
      <c r="M2" s="47" t="s">
        <v>223</v>
      </c>
      <c r="N2" s="47"/>
      <c r="O2" s="47"/>
      <c r="P2" s="47"/>
      <c r="Q2" s="47"/>
      <c r="R2" s="47"/>
    </row>
    <row r="3" spans="2:20" ht="33.75" customHeight="1" x14ac:dyDescent="0.2">
      <c r="B3" s="15" t="s">
        <v>224</v>
      </c>
      <c r="C3" s="12" t="s">
        <v>202</v>
      </c>
      <c r="D3" s="12" t="s">
        <v>203</v>
      </c>
      <c r="E3" s="12" t="s">
        <v>204</v>
      </c>
      <c r="F3" s="12" t="s">
        <v>205</v>
      </c>
      <c r="G3" s="12" t="s">
        <v>206</v>
      </c>
      <c r="H3" s="12" t="s">
        <v>207</v>
      </c>
      <c r="I3" s="12" t="s">
        <v>208</v>
      </c>
      <c r="J3" s="12" t="s">
        <v>209</v>
      </c>
      <c r="K3" s="12" t="s">
        <v>210</v>
      </c>
      <c r="L3" s="12" t="s">
        <v>211</v>
      </c>
      <c r="M3" s="12" t="s">
        <v>212</v>
      </c>
      <c r="N3" s="12" t="s">
        <v>213</v>
      </c>
      <c r="O3" s="12" t="s">
        <v>214</v>
      </c>
      <c r="P3" s="12" t="s">
        <v>215</v>
      </c>
      <c r="Q3" s="12" t="s">
        <v>216</v>
      </c>
      <c r="R3" s="12" t="s">
        <v>217</v>
      </c>
      <c r="S3" s="12" t="s">
        <v>225</v>
      </c>
      <c r="T3" s="12" t="s">
        <v>226</v>
      </c>
    </row>
    <row r="4" spans="2:20" ht="15" customHeight="1" x14ac:dyDescent="0.2">
      <c r="B4" s="3" t="s">
        <v>279</v>
      </c>
      <c r="C4" s="22">
        <f>Receita_Revenue!C9</f>
        <v>4689.386363636364</v>
      </c>
      <c r="D4" s="22">
        <f>Receita_Revenue!D9</f>
        <v>7434.8363636363638</v>
      </c>
      <c r="E4" s="22">
        <f>Receita_Revenue!E9</f>
        <v>11095.436363636363</v>
      </c>
      <c r="F4" s="22">
        <f>Receita_Revenue!F9</f>
        <v>14756.036363636364</v>
      </c>
      <c r="G4" s="22">
        <f>Receita_Revenue!G9</f>
        <v>18416.636363636364</v>
      </c>
      <c r="H4" s="22">
        <f>Receita_Revenue!H9</f>
        <v>21162.086363636365</v>
      </c>
      <c r="I4" s="22">
        <f>Receita_Revenue!I9</f>
        <v>22992.386363636364</v>
      </c>
      <c r="J4" s="22">
        <f>Receita_Revenue!J9</f>
        <v>22992.386363636364</v>
      </c>
      <c r="K4" s="22">
        <f>Receita_Revenue!K9</f>
        <v>202211.4</v>
      </c>
      <c r="L4" s="22">
        <f>Receita_Revenue!L9</f>
        <v>202211.4</v>
      </c>
      <c r="M4" s="22">
        <f>Receita_Revenue!M9</f>
        <v>297833.40000000002</v>
      </c>
      <c r="N4" s="22">
        <f>Receita_Revenue!N9</f>
        <v>298684.79999999999</v>
      </c>
      <c r="O4" s="22">
        <f>Receita_Revenue!O9</f>
        <v>298684.79999999999</v>
      </c>
      <c r="P4" s="22">
        <f>Receita_Revenue!P9</f>
        <v>99561.600000000006</v>
      </c>
      <c r="Q4" s="22">
        <f>Receita_Revenue!Q9</f>
        <v>198812.4</v>
      </c>
      <c r="R4" s="22">
        <f>Receita_Revenue!R9</f>
        <v>198812.4</v>
      </c>
      <c r="S4" s="22">
        <f>C4+D4+E4+F4+G4+H4+I4+J4+K4+L4</f>
        <v>527961.99090909096</v>
      </c>
      <c r="T4" s="22">
        <f>M4+N4+O4+P4+Q4+R4</f>
        <v>1392389.4</v>
      </c>
    </row>
    <row r="5" spans="2:20" ht="15" customHeight="1" x14ac:dyDescent="0.2">
      <c r="B5" s="2" t="s">
        <v>338</v>
      </c>
      <c r="C5" s="21">
        <f>Custos_Costs!C26</f>
        <v>5591.1875</v>
      </c>
      <c r="D5" s="21">
        <f>Custos_Costs!D26</f>
        <v>8106.346590909091</v>
      </c>
      <c r="E5" s="21">
        <f>Custos_Costs!E26</f>
        <v>10624.914772727272</v>
      </c>
      <c r="F5" s="21">
        <f>Custos_Costs!F26</f>
        <v>13769.715909090908</v>
      </c>
      <c r="G5" s="21">
        <f>Custos_Costs!G26</f>
        <v>16288.284090909092</v>
      </c>
      <c r="H5" s="21">
        <f>Custos_Costs!H26</f>
        <v>18803.44318181818</v>
      </c>
      <c r="I5" s="21">
        <f>Custos_Costs!I26</f>
        <v>20062.727272727276</v>
      </c>
      <c r="J5" s="21">
        <f>Custos_Costs!J26</f>
        <v>20062.727272727276</v>
      </c>
      <c r="K5" s="21">
        <f>Custos_Costs!K26</f>
        <v>175799</v>
      </c>
      <c r="L5" s="21">
        <f>Custos_Costs!L26</f>
        <v>175799</v>
      </c>
      <c r="M5" s="21">
        <f>Custos_Costs!M26</f>
        <v>266194.91249999998</v>
      </c>
      <c r="N5" s="21">
        <f>Custos_Costs!N26</f>
        <v>266194.91249999998</v>
      </c>
      <c r="O5" s="21">
        <f>Custos_Costs!O26</f>
        <v>266194.91249999998</v>
      </c>
      <c r="P5" s="21">
        <f>Custos_Costs!P26</f>
        <v>88731.637500000012</v>
      </c>
      <c r="Q5" s="21">
        <f>Custos_Costs!Q26</f>
        <v>177904.63750000001</v>
      </c>
      <c r="R5" s="21">
        <f>Custos_Costs!R26</f>
        <v>177904.63750000001</v>
      </c>
      <c r="S5" s="21">
        <f>C5+D5+E5+F5+G5+H5+I5+J5+K5+L5</f>
        <v>464907.34659090912</v>
      </c>
      <c r="T5" s="21">
        <f>M5+N5+O5+P5+Q5+R5</f>
        <v>1243125.6499999999</v>
      </c>
    </row>
    <row r="6" spans="2:20" ht="15" customHeight="1" x14ac:dyDescent="0.2">
      <c r="B6" s="3" t="s">
        <v>339</v>
      </c>
      <c r="C6" s="22">
        <f t="shared" ref="C6:R6" si="0">C4-C5</f>
        <v>-901.80113636363603</v>
      </c>
      <c r="D6" s="22">
        <f t="shared" si="0"/>
        <v>-671.51022727272721</v>
      </c>
      <c r="E6" s="22">
        <f t="shared" si="0"/>
        <v>470.52159090909117</v>
      </c>
      <c r="F6" s="22">
        <f t="shared" si="0"/>
        <v>986.3204545454555</v>
      </c>
      <c r="G6" s="22">
        <f t="shared" si="0"/>
        <v>2128.3522727272721</v>
      </c>
      <c r="H6" s="22">
        <f t="shared" si="0"/>
        <v>2358.6431818181845</v>
      </c>
      <c r="I6" s="22">
        <f t="shared" si="0"/>
        <v>2929.6590909090883</v>
      </c>
      <c r="J6" s="22">
        <f t="shared" si="0"/>
        <v>2929.6590909090883</v>
      </c>
      <c r="K6" s="22">
        <f t="shared" si="0"/>
        <v>26412.399999999994</v>
      </c>
      <c r="L6" s="22">
        <f t="shared" si="0"/>
        <v>26412.399999999994</v>
      </c>
      <c r="M6" s="22">
        <f t="shared" si="0"/>
        <v>31638.487500000047</v>
      </c>
      <c r="N6" s="22">
        <f t="shared" si="0"/>
        <v>32489.887500000012</v>
      </c>
      <c r="O6" s="22">
        <f t="shared" si="0"/>
        <v>32489.887500000012</v>
      </c>
      <c r="P6" s="22">
        <f t="shared" si="0"/>
        <v>10829.962499999994</v>
      </c>
      <c r="Q6" s="22">
        <f t="shared" si="0"/>
        <v>20907.762499999983</v>
      </c>
      <c r="R6" s="22">
        <f t="shared" si="0"/>
        <v>20907.762499999983</v>
      </c>
      <c r="S6" s="22">
        <f>C6+D6+E6+F6+G6+H6+I6+J6+K6+L6</f>
        <v>63054.644318181803</v>
      </c>
      <c r="T6" s="22">
        <f>M6+N6+O6+P6+Q6+R6</f>
        <v>149263.75000000003</v>
      </c>
    </row>
    <row r="7" spans="2:20" ht="15" customHeight="1" x14ac:dyDescent="0.2">
      <c r="B7" s="2" t="s">
        <v>340</v>
      </c>
      <c r="C7" s="23">
        <f t="shared" ref="C7:T7" si="1">IF(C4=0,0,C6/C4)</f>
        <v>-0.1923068534844159</v>
      </c>
      <c r="D7" s="23">
        <f t="shared" si="1"/>
        <v>-9.0319436021089897E-2</v>
      </c>
      <c r="E7" s="23">
        <f t="shared" si="1"/>
        <v>4.240676756537088E-2</v>
      </c>
      <c r="F7" s="23">
        <f t="shared" si="1"/>
        <v>6.6841828675352655E-2</v>
      </c>
      <c r="G7" s="23">
        <f t="shared" si="1"/>
        <v>0.11556682939832065</v>
      </c>
      <c r="H7" s="23">
        <f t="shared" si="1"/>
        <v>0.11145607957971161</v>
      </c>
      <c r="I7" s="23">
        <f t="shared" si="1"/>
        <v>0.12741866131575164</v>
      </c>
      <c r="J7" s="23">
        <f t="shared" si="1"/>
        <v>0.12741866131575164</v>
      </c>
      <c r="K7" s="23">
        <f t="shared" si="1"/>
        <v>0.13061775943393891</v>
      </c>
      <c r="L7" s="23">
        <f t="shared" si="1"/>
        <v>0.13061775943393891</v>
      </c>
      <c r="M7" s="23">
        <f t="shared" si="1"/>
        <v>0.10622880946193423</v>
      </c>
      <c r="N7" s="23">
        <f t="shared" si="1"/>
        <v>0.10877650118117833</v>
      </c>
      <c r="O7" s="23">
        <f t="shared" si="1"/>
        <v>0.10877650118117833</v>
      </c>
      <c r="P7" s="23">
        <f t="shared" si="1"/>
        <v>0.10877650118117822</v>
      </c>
      <c r="Q7" s="23">
        <f t="shared" si="1"/>
        <v>0.10516327200919048</v>
      </c>
      <c r="R7" s="23">
        <f t="shared" si="1"/>
        <v>0.10516327200919048</v>
      </c>
      <c r="S7" s="23">
        <f t="shared" si="1"/>
        <v>0.11943027226185132</v>
      </c>
      <c r="T7" s="23">
        <f t="shared" si="1"/>
        <v>0.10719971726300132</v>
      </c>
    </row>
    <row r="8" spans="2:20" ht="15" customHeight="1" x14ac:dyDescent="0.2">
      <c r="B8" s="2" t="s">
        <v>341</v>
      </c>
      <c r="C8" s="21">
        <f>Operacao_Operations!C12*Pressupostos_Assumpt!C32*Pressupostos_Assumpt!C50*Operacao_Operations!C5</f>
        <v>0</v>
      </c>
      <c r="D8" s="21">
        <f>Operacao_Operations!D12*Pressupostos_Assumpt!C32*Pressupostos_Assumpt!C50*Operacao_Operations!D5</f>
        <v>0</v>
      </c>
      <c r="E8" s="21">
        <f>Operacao_Operations!E12*Pressupostos_Assumpt!C32*Pressupostos_Assumpt!C50*Operacao_Operations!E5</f>
        <v>0</v>
      </c>
      <c r="F8" s="21">
        <f>Operacao_Operations!F12*Pressupostos_Assumpt!C32*Pressupostos_Assumpt!C50*Operacao_Operations!F5</f>
        <v>0</v>
      </c>
      <c r="G8" s="21">
        <f>Operacao_Operations!G12*Pressupostos_Assumpt!C32*Pressupostos_Assumpt!C50*Operacao_Operations!G5</f>
        <v>0</v>
      </c>
      <c r="H8" s="21">
        <f>Operacao_Operations!H12*Pressupostos_Assumpt!C32*Pressupostos_Assumpt!C50*Operacao_Operations!H5</f>
        <v>0</v>
      </c>
      <c r="I8" s="21">
        <f>Operacao_Operations!I12*Pressupostos_Assumpt!C32*Pressupostos_Assumpt!C50*Operacao_Operations!I5</f>
        <v>0</v>
      </c>
      <c r="J8" s="21">
        <f>Operacao_Operations!J12*Pressupostos_Assumpt!C32*Pressupostos_Assumpt!C50*Operacao_Operations!J5</f>
        <v>0</v>
      </c>
      <c r="K8" s="21">
        <f>Operacao_Operations!K12*Pressupostos_Assumpt!C32*Pressupostos_Assumpt!C50*Operacao_Operations!K5</f>
        <v>0</v>
      </c>
      <c r="L8" s="21">
        <f>Operacao_Operations!L12*Pressupostos_Assumpt!C32*Pressupostos_Assumpt!C50*Operacao_Operations!L5</f>
        <v>0</v>
      </c>
      <c r="M8" s="21">
        <f>Operacao_Operations!M12*Pressupostos_Assumpt!D32*Pressupostos_Assumpt!D50*Operacao_Operations!M5</f>
        <v>0</v>
      </c>
      <c r="N8" s="21">
        <f>Operacao_Operations!N12*Pressupostos_Assumpt!D32*Pressupostos_Assumpt!D50*Operacao_Operations!N5</f>
        <v>0</v>
      </c>
      <c r="O8" s="21">
        <f>Operacao_Operations!O12*Pressupostos_Assumpt!D32*Pressupostos_Assumpt!D50*Operacao_Operations!O5</f>
        <v>0</v>
      </c>
      <c r="P8" s="21">
        <f>Operacao_Operations!P12*Pressupostos_Assumpt!D32*Pressupostos_Assumpt!D50*Operacao_Operations!P5</f>
        <v>0</v>
      </c>
      <c r="Q8" s="21">
        <f>Operacao_Operations!Q12*Pressupostos_Assumpt!D32*Pressupostos_Assumpt!D50*Operacao_Operations!Q5</f>
        <v>0</v>
      </c>
      <c r="R8" s="21">
        <f>Operacao_Operations!R12*Pressupostos_Assumpt!D32*Pressupostos_Assumpt!D50*Operacao_Operations!R5</f>
        <v>0</v>
      </c>
      <c r="S8" s="21">
        <f t="shared" ref="S8:S12" si="2">C8+D8+E8+F8+G8+H8+I8+J8+K8+L8</f>
        <v>0</v>
      </c>
      <c r="T8" s="21">
        <f t="shared" ref="T8:T13" si="3">M8+N8+O8+P8+Q8+R8</f>
        <v>0</v>
      </c>
    </row>
    <row r="9" spans="2:20" ht="15" customHeight="1" x14ac:dyDescent="0.2">
      <c r="B9" s="3" t="s">
        <v>342</v>
      </c>
      <c r="C9" s="22">
        <f t="shared" ref="C9:R9" si="4">C6-C8</f>
        <v>-901.80113636363603</v>
      </c>
      <c r="D9" s="22">
        <f t="shared" si="4"/>
        <v>-671.51022727272721</v>
      </c>
      <c r="E9" s="22">
        <f t="shared" si="4"/>
        <v>470.52159090909117</v>
      </c>
      <c r="F9" s="22">
        <f t="shared" si="4"/>
        <v>986.3204545454555</v>
      </c>
      <c r="G9" s="22">
        <f t="shared" si="4"/>
        <v>2128.3522727272721</v>
      </c>
      <c r="H9" s="22">
        <f t="shared" si="4"/>
        <v>2358.6431818181845</v>
      </c>
      <c r="I9" s="22">
        <f t="shared" si="4"/>
        <v>2929.6590909090883</v>
      </c>
      <c r="J9" s="22">
        <f t="shared" si="4"/>
        <v>2929.6590909090883</v>
      </c>
      <c r="K9" s="22">
        <f t="shared" si="4"/>
        <v>26412.399999999994</v>
      </c>
      <c r="L9" s="22">
        <f t="shared" si="4"/>
        <v>26412.399999999994</v>
      </c>
      <c r="M9" s="22">
        <f t="shared" si="4"/>
        <v>31638.487500000047</v>
      </c>
      <c r="N9" s="22">
        <f t="shared" si="4"/>
        <v>32489.887500000012</v>
      </c>
      <c r="O9" s="22">
        <f t="shared" si="4"/>
        <v>32489.887500000012</v>
      </c>
      <c r="P9" s="22">
        <f t="shared" si="4"/>
        <v>10829.962499999994</v>
      </c>
      <c r="Q9" s="22">
        <f t="shared" si="4"/>
        <v>20907.762499999983</v>
      </c>
      <c r="R9" s="22">
        <f t="shared" si="4"/>
        <v>20907.762499999983</v>
      </c>
      <c r="S9" s="22">
        <f t="shared" si="2"/>
        <v>63054.644318181803</v>
      </c>
      <c r="T9" s="22">
        <f t="shared" si="3"/>
        <v>149263.75000000003</v>
      </c>
    </row>
    <row r="10" spans="2:20" ht="15" customHeight="1" x14ac:dyDescent="0.2">
      <c r="B10" s="2" t="s">
        <v>343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f t="shared" si="2"/>
        <v>0</v>
      </c>
      <c r="T10" s="21">
        <f t="shared" si="3"/>
        <v>0</v>
      </c>
    </row>
    <row r="11" spans="2:20" ht="15" customHeight="1" x14ac:dyDescent="0.2">
      <c r="B11" s="3" t="s">
        <v>344</v>
      </c>
      <c r="C11" s="22">
        <f t="shared" ref="C11:R11" si="5">C9-C10</f>
        <v>-901.80113636363603</v>
      </c>
      <c r="D11" s="22">
        <f t="shared" si="5"/>
        <v>-671.51022727272721</v>
      </c>
      <c r="E11" s="22">
        <f t="shared" si="5"/>
        <v>470.52159090909117</v>
      </c>
      <c r="F11" s="22">
        <f t="shared" si="5"/>
        <v>986.3204545454555</v>
      </c>
      <c r="G11" s="22">
        <f t="shared" si="5"/>
        <v>2128.3522727272721</v>
      </c>
      <c r="H11" s="22">
        <f t="shared" si="5"/>
        <v>2358.6431818181845</v>
      </c>
      <c r="I11" s="22">
        <f t="shared" si="5"/>
        <v>2929.6590909090883</v>
      </c>
      <c r="J11" s="22">
        <f t="shared" si="5"/>
        <v>2929.6590909090883</v>
      </c>
      <c r="K11" s="22">
        <f t="shared" si="5"/>
        <v>26412.399999999994</v>
      </c>
      <c r="L11" s="22">
        <f t="shared" si="5"/>
        <v>26412.399999999994</v>
      </c>
      <c r="M11" s="22">
        <f t="shared" si="5"/>
        <v>31638.487500000047</v>
      </c>
      <c r="N11" s="22">
        <f t="shared" si="5"/>
        <v>32489.887500000012</v>
      </c>
      <c r="O11" s="22">
        <f t="shared" si="5"/>
        <v>32489.887500000012</v>
      </c>
      <c r="P11" s="22">
        <f t="shared" si="5"/>
        <v>10829.962499999994</v>
      </c>
      <c r="Q11" s="22">
        <f t="shared" si="5"/>
        <v>20907.762499999983</v>
      </c>
      <c r="R11" s="22">
        <f t="shared" si="5"/>
        <v>20907.762499999983</v>
      </c>
      <c r="S11" s="22">
        <f t="shared" si="2"/>
        <v>63054.644318181803</v>
      </c>
      <c r="T11" s="22">
        <f t="shared" si="3"/>
        <v>149263.75000000003</v>
      </c>
    </row>
    <row r="12" spans="2:20" ht="15" customHeight="1" x14ac:dyDescent="0.2">
      <c r="B12" s="2" t="s">
        <v>345</v>
      </c>
      <c r="C12" s="21">
        <f>IF(C11&gt;0,C11*Pressupostos_Assumpt!C74,0)</f>
        <v>0</v>
      </c>
      <c r="D12" s="21">
        <f>IF(D11&gt;0,D11*Pressupostos_Assumpt!C74,0)</f>
        <v>0</v>
      </c>
      <c r="E12" s="21">
        <f>IF(E11&gt;0,E11*Pressupostos_Assumpt!C74,0)</f>
        <v>98.809534090909139</v>
      </c>
      <c r="F12" s="21">
        <f>IF(F11&gt;0,F11*Pressupostos_Assumpt!C74,0)</f>
        <v>207.12729545454565</v>
      </c>
      <c r="G12" s="21">
        <f>IF(G11&gt;0,G11*Pressupostos_Assumpt!C74,0)</f>
        <v>446.95397727272712</v>
      </c>
      <c r="H12" s="21">
        <f>IF(H11&gt;0,H11*Pressupostos_Assumpt!C74,0)</f>
        <v>495.31506818181873</v>
      </c>
      <c r="I12" s="21">
        <f>IF(I11&gt;0,I11*Pressupostos_Assumpt!C74,0)</f>
        <v>615.22840909090849</v>
      </c>
      <c r="J12" s="21">
        <f>IF(J11&gt;0,J11*Pressupostos_Assumpt!C74,0)</f>
        <v>615.22840909090849</v>
      </c>
      <c r="K12" s="21">
        <f>IF(K11&gt;0,K11*Pressupostos_Assumpt!C74,0)</f>
        <v>5546.6039999999985</v>
      </c>
      <c r="L12" s="21">
        <f>IF(L11&gt;0,L11*Pressupostos_Assumpt!C74,0)</f>
        <v>5546.6039999999985</v>
      </c>
      <c r="M12" s="21">
        <f>IF(M11&gt;0,M11*Pressupostos_Assumpt!D74,0)</f>
        <v>6644.08237500001</v>
      </c>
      <c r="N12" s="21">
        <f>IF(N11&gt;0,N11*Pressupostos_Assumpt!D74,0)</f>
        <v>6822.8763750000026</v>
      </c>
      <c r="O12" s="21">
        <f>IF(O11&gt;0,O11*Pressupostos_Assumpt!D74,0)</f>
        <v>6822.8763750000026</v>
      </c>
      <c r="P12" s="21">
        <f>IF(P11&gt;0,P11*Pressupostos_Assumpt!D74,0)</f>
        <v>2274.2921249999986</v>
      </c>
      <c r="Q12" s="21">
        <f>IF(Q11&gt;0,Q11*Pressupostos_Assumpt!D74,0)</f>
        <v>4390.630124999996</v>
      </c>
      <c r="R12" s="21">
        <f>IF(R11&gt;0,R11*Pressupostos_Assumpt!D74,0)</f>
        <v>4390.630124999996</v>
      </c>
      <c r="S12" s="21">
        <f t="shared" si="2"/>
        <v>13571.870693181814</v>
      </c>
      <c r="T12" s="21">
        <f t="shared" si="3"/>
        <v>31345.387500000008</v>
      </c>
    </row>
    <row r="13" spans="2:20" ht="15" customHeight="1" x14ac:dyDescent="0.2">
      <c r="B13" s="3" t="s">
        <v>346</v>
      </c>
      <c r="C13" s="22">
        <f t="shared" ref="C13:R13" si="6">C11-C12</f>
        <v>-901.80113636363603</v>
      </c>
      <c r="D13" s="22">
        <f t="shared" si="6"/>
        <v>-671.51022727272721</v>
      </c>
      <c r="E13" s="22">
        <f t="shared" si="6"/>
        <v>371.71205681818202</v>
      </c>
      <c r="F13" s="22">
        <f t="shared" si="6"/>
        <v>779.19315909090983</v>
      </c>
      <c r="G13" s="22">
        <f t="shared" si="6"/>
        <v>1681.398295454545</v>
      </c>
      <c r="H13" s="22">
        <f t="shared" si="6"/>
        <v>1863.3281136363657</v>
      </c>
      <c r="I13" s="22">
        <f t="shared" si="6"/>
        <v>2314.4306818181799</v>
      </c>
      <c r="J13" s="22">
        <f t="shared" si="6"/>
        <v>2314.4306818181799</v>
      </c>
      <c r="K13" s="22">
        <f t="shared" si="6"/>
        <v>20865.795999999995</v>
      </c>
      <c r="L13" s="22">
        <f t="shared" si="6"/>
        <v>20865.795999999995</v>
      </c>
      <c r="M13" s="22">
        <f t="shared" si="6"/>
        <v>24994.405125000038</v>
      </c>
      <c r="N13" s="22">
        <f t="shared" si="6"/>
        <v>25667.011125000008</v>
      </c>
      <c r="O13" s="22">
        <f t="shared" si="6"/>
        <v>25667.011125000008</v>
      </c>
      <c r="P13" s="22">
        <f t="shared" si="6"/>
        <v>8555.6703749999961</v>
      </c>
      <c r="Q13" s="22">
        <f t="shared" si="6"/>
        <v>16517.132374999986</v>
      </c>
      <c r="R13" s="22">
        <f t="shared" si="6"/>
        <v>16517.132374999986</v>
      </c>
      <c r="S13" s="22">
        <f>C13+D13+E13+F13+G13+H13+I13+J13+K13+L13</f>
        <v>49482.773624999987</v>
      </c>
      <c r="T13" s="22">
        <f t="shared" si="3"/>
        <v>117918.36250000003</v>
      </c>
    </row>
    <row r="14" spans="2:20" ht="15" customHeight="1" x14ac:dyDescent="0.2">
      <c r="B14" s="2" t="s">
        <v>347</v>
      </c>
      <c r="C14" s="23">
        <f t="shared" ref="C14:T14" si="7">IF(C4=0,0,C13/C4)</f>
        <v>-0.1923068534844159</v>
      </c>
      <c r="D14" s="23">
        <f t="shared" si="7"/>
        <v>-9.0319436021089897E-2</v>
      </c>
      <c r="E14" s="23">
        <f t="shared" si="7"/>
        <v>3.3501346376642996E-2</v>
      </c>
      <c r="F14" s="23">
        <f t="shared" si="7"/>
        <v>5.2805044653528588E-2</v>
      </c>
      <c r="G14" s="23">
        <f t="shared" si="7"/>
        <v>9.1297795224673309E-2</v>
      </c>
      <c r="H14" s="23">
        <f t="shared" si="7"/>
        <v>8.8050302867972163E-2</v>
      </c>
      <c r="I14" s="23">
        <f t="shared" si="7"/>
        <v>0.1006607424394438</v>
      </c>
      <c r="J14" s="23">
        <f t="shared" si="7"/>
        <v>0.1006607424394438</v>
      </c>
      <c r="K14" s="23">
        <f t="shared" si="7"/>
        <v>0.10318802995281173</v>
      </c>
      <c r="L14" s="23">
        <f t="shared" si="7"/>
        <v>0.10318802995281173</v>
      </c>
      <c r="M14" s="23">
        <f t="shared" si="7"/>
        <v>8.3920759474928053E-2</v>
      </c>
      <c r="N14" s="23">
        <f t="shared" si="7"/>
        <v>8.5933435933130881E-2</v>
      </c>
      <c r="O14" s="23">
        <f t="shared" si="7"/>
        <v>8.5933435933130881E-2</v>
      </c>
      <c r="P14" s="23">
        <f t="shared" si="7"/>
        <v>8.5933435933130797E-2</v>
      </c>
      <c r="Q14" s="23">
        <f t="shared" si="7"/>
        <v>8.3078984887260482E-2</v>
      </c>
      <c r="R14" s="23">
        <f t="shared" si="7"/>
        <v>8.3078984887260482E-2</v>
      </c>
      <c r="S14" s="23">
        <f t="shared" si="7"/>
        <v>9.3724121200081528E-2</v>
      </c>
      <c r="T14" s="23">
        <f t="shared" si="7"/>
        <v>8.4687776637771037E-2</v>
      </c>
    </row>
    <row r="17" spans="2:20" ht="15" customHeight="1" x14ac:dyDescent="0.2">
      <c r="B17" s="44" t="s">
        <v>238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</row>
    <row r="18" spans="2:20" ht="15" customHeight="1" x14ac:dyDescent="0.2">
      <c r="C18" s="47" t="s">
        <v>239</v>
      </c>
      <c r="D18" s="47"/>
      <c r="E18" s="47"/>
      <c r="F18" s="47"/>
      <c r="G18" s="47" t="s">
        <v>240</v>
      </c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</row>
    <row r="19" spans="2:20" ht="24" customHeight="1" x14ac:dyDescent="0.2">
      <c r="B19" s="15" t="s">
        <v>241</v>
      </c>
      <c r="C19" s="12" t="s">
        <v>242</v>
      </c>
      <c r="D19" s="12" t="s">
        <v>243</v>
      </c>
      <c r="E19" s="12" t="s">
        <v>244</v>
      </c>
      <c r="F19" s="12" t="s">
        <v>245</v>
      </c>
      <c r="G19" s="12" t="s">
        <v>246</v>
      </c>
      <c r="H19" s="12" t="s">
        <v>247</v>
      </c>
      <c r="I19" s="12" t="s">
        <v>248</v>
      </c>
      <c r="J19" s="12" t="s">
        <v>249</v>
      </c>
      <c r="K19" s="12" t="s">
        <v>250</v>
      </c>
      <c r="L19" s="12" t="s">
        <v>251</v>
      </c>
      <c r="M19" s="12" t="s">
        <v>252</v>
      </c>
      <c r="N19" s="12" t="s">
        <v>253</v>
      </c>
      <c r="O19" s="12" t="s">
        <v>254</v>
      </c>
      <c r="P19" s="12" t="s">
        <v>255</v>
      </c>
      <c r="Q19" s="12" t="s">
        <v>256</v>
      </c>
      <c r="R19" s="12" t="s">
        <v>257</v>
      </c>
      <c r="T19" s="38"/>
    </row>
    <row r="20" spans="2:20" ht="15" customHeight="1" x14ac:dyDescent="0.2">
      <c r="B20" s="3" t="s">
        <v>279</v>
      </c>
      <c r="C20" s="22">
        <f>C4+D4+E4+F4</f>
        <v>37975.695454545457</v>
      </c>
      <c r="D20" s="22">
        <f>G4+H4+I4+J4</f>
        <v>85563.495454545468</v>
      </c>
      <c r="E20" s="22">
        <f t="shared" ref="E20:F22" si="8">K4</f>
        <v>202211.4</v>
      </c>
      <c r="F20" s="22">
        <f t="shared" si="8"/>
        <v>202211.4</v>
      </c>
      <c r="G20" s="22">
        <f>(M4)/3</f>
        <v>99277.8</v>
      </c>
      <c r="H20" s="22">
        <f>(M4)/3</f>
        <v>99277.8</v>
      </c>
      <c r="I20" s="22">
        <f t="shared" ref="I20:J22" si="9">(M4)/3</f>
        <v>99277.8</v>
      </c>
      <c r="J20" s="22">
        <f t="shared" si="9"/>
        <v>99561.599999999991</v>
      </c>
      <c r="K20" s="22">
        <f>(N4)/3</f>
        <v>99561.599999999991</v>
      </c>
      <c r="L20" s="22">
        <f t="shared" ref="L20:M22" si="10">(N4)/3</f>
        <v>99561.599999999991</v>
      </c>
      <c r="M20" s="22">
        <f t="shared" si="10"/>
        <v>99561.599999999991</v>
      </c>
      <c r="N20" s="22">
        <f>(O4)/3</f>
        <v>99561.599999999991</v>
      </c>
      <c r="O20" s="22">
        <f>(O4)/3</f>
        <v>99561.599999999991</v>
      </c>
      <c r="P20" s="22">
        <f t="shared" ref="P20:R22" si="11">P4</f>
        <v>99561.600000000006</v>
      </c>
      <c r="Q20" s="22">
        <f t="shared" si="11"/>
        <v>198812.4</v>
      </c>
      <c r="R20" s="22">
        <f t="shared" si="11"/>
        <v>198812.4</v>
      </c>
    </row>
    <row r="21" spans="2:20" ht="15" customHeight="1" x14ac:dyDescent="0.2">
      <c r="B21" s="2" t="s">
        <v>338</v>
      </c>
      <c r="C21" s="21">
        <f>C5+D5+E5+F5</f>
        <v>38092.164772727272</v>
      </c>
      <c r="D21" s="21">
        <f>G5+H5+I5+J5</f>
        <v>75217.181818181823</v>
      </c>
      <c r="E21" s="21">
        <f t="shared" si="8"/>
        <v>175799</v>
      </c>
      <c r="F21" s="21">
        <f t="shared" si="8"/>
        <v>175799</v>
      </c>
      <c r="G21" s="21">
        <f>(M5)/3</f>
        <v>88731.637499999997</v>
      </c>
      <c r="H21" s="21">
        <f>(M5)/3</f>
        <v>88731.637499999997</v>
      </c>
      <c r="I21" s="21">
        <f t="shared" si="9"/>
        <v>88731.637499999997</v>
      </c>
      <c r="J21" s="21">
        <f t="shared" si="9"/>
        <v>88731.637499999997</v>
      </c>
      <c r="K21" s="21">
        <f>(N5)/3</f>
        <v>88731.637499999997</v>
      </c>
      <c r="L21" s="21">
        <f t="shared" si="10"/>
        <v>88731.637499999997</v>
      </c>
      <c r="M21" s="21">
        <f t="shared" si="10"/>
        <v>88731.637499999997</v>
      </c>
      <c r="N21" s="21">
        <f>(O5)/3</f>
        <v>88731.637499999997</v>
      </c>
      <c r="O21" s="21">
        <f>(O5)/3</f>
        <v>88731.637499999997</v>
      </c>
      <c r="P21" s="21">
        <f t="shared" si="11"/>
        <v>88731.637500000012</v>
      </c>
      <c r="Q21" s="21">
        <f t="shared" si="11"/>
        <v>177904.63750000001</v>
      </c>
      <c r="R21" s="21">
        <f t="shared" si="11"/>
        <v>177904.63750000001</v>
      </c>
    </row>
    <row r="22" spans="2:20" ht="15" customHeight="1" x14ac:dyDescent="0.2">
      <c r="B22" s="3" t="s">
        <v>339</v>
      </c>
      <c r="C22" s="22">
        <f>C6+D6+E6+F6</f>
        <v>-116.46931818181656</v>
      </c>
      <c r="D22" s="22">
        <f>G6+H6+I6+J6</f>
        <v>10346.313636363633</v>
      </c>
      <c r="E22" s="22">
        <f t="shared" si="8"/>
        <v>26412.399999999994</v>
      </c>
      <c r="F22" s="22">
        <f t="shared" si="8"/>
        <v>26412.399999999994</v>
      </c>
      <c r="G22" s="22">
        <f>(M6)/3</f>
        <v>10546.162500000015</v>
      </c>
      <c r="H22" s="22">
        <f>(M6)/3</f>
        <v>10546.162500000015</v>
      </c>
      <c r="I22" s="22">
        <f t="shared" si="9"/>
        <v>10546.162500000015</v>
      </c>
      <c r="J22" s="22">
        <f t="shared" si="9"/>
        <v>10829.962500000003</v>
      </c>
      <c r="K22" s="22">
        <f>(N6)/3</f>
        <v>10829.962500000003</v>
      </c>
      <c r="L22" s="22">
        <f t="shared" si="10"/>
        <v>10829.962500000003</v>
      </c>
      <c r="M22" s="22">
        <f t="shared" si="10"/>
        <v>10829.962500000003</v>
      </c>
      <c r="N22" s="22">
        <f>(O6)/3</f>
        <v>10829.962500000003</v>
      </c>
      <c r="O22" s="22">
        <f>(O6)/3</f>
        <v>10829.962500000003</v>
      </c>
      <c r="P22" s="22">
        <f t="shared" si="11"/>
        <v>10829.962499999994</v>
      </c>
      <c r="Q22" s="22">
        <f t="shared" si="11"/>
        <v>20907.762499999983</v>
      </c>
      <c r="R22" s="22">
        <f t="shared" si="11"/>
        <v>20907.762499999983</v>
      </c>
    </row>
    <row r="23" spans="2:20" ht="15" customHeight="1" x14ac:dyDescent="0.2">
      <c r="B23" s="2" t="s">
        <v>340</v>
      </c>
      <c r="C23" s="23">
        <f>IF((C4+D4+E4+F4)=0,0,(C6+D6+E6+F6)/(C4+D4+E4+F4))</f>
        <v>-3.0669436540332246E-3</v>
      </c>
      <c r="D23" s="23">
        <f>IF((G4+H4+I4+J4)=0,0,(G6+H6+I6+J6)/(G4+H4+I4+J4))</f>
        <v>0.12091971677173921</v>
      </c>
      <c r="E23" s="23">
        <f>IF((K4)=0,0,(K6)/(K4))</f>
        <v>0.13061775943393891</v>
      </c>
      <c r="F23" s="23">
        <f>IF((L4)=0,0,(L6)/(L4))</f>
        <v>0.13061775943393891</v>
      </c>
      <c r="G23" s="23">
        <f>IF((M4)=0,0,(M6)/(M4))</f>
        <v>0.10622880946193423</v>
      </c>
      <c r="H23" s="23">
        <f>IF((M4)=0,0,(M6)/(M4))</f>
        <v>0.10622880946193423</v>
      </c>
      <c r="I23" s="23">
        <f>IF((M4)=0,0,(M6)/(M4))</f>
        <v>0.10622880946193423</v>
      </c>
      <c r="J23" s="23">
        <f>IF((N4)=0,0,(N6)/(N4))</f>
        <v>0.10877650118117833</v>
      </c>
      <c r="K23" s="23">
        <f>IF((N4)=0,0,(N6)/(N4))</f>
        <v>0.10877650118117833</v>
      </c>
      <c r="L23" s="23">
        <f>IF((N4)=0,0,(N6)/(N4))</f>
        <v>0.10877650118117833</v>
      </c>
      <c r="M23" s="23">
        <f>IF((O4)=0,0,(O6)/(O4))</f>
        <v>0.10877650118117833</v>
      </c>
      <c r="N23" s="23">
        <f>IF((O4)=0,0,(O6)/(O4))</f>
        <v>0.10877650118117833</v>
      </c>
      <c r="O23" s="23">
        <f>IF((O4)=0,0,(O6)/(O4))</f>
        <v>0.10877650118117833</v>
      </c>
      <c r="P23" s="23">
        <f>IF((P4)=0,0,(P6)/(P4))</f>
        <v>0.10877650118117822</v>
      </c>
      <c r="Q23" s="23">
        <f>IF((Q4)=0,0,(Q6)/(Q4))</f>
        <v>0.10516327200919048</v>
      </c>
      <c r="R23" s="23">
        <f>IF((R4)=0,0,(R6)/(R4))</f>
        <v>0.10516327200919048</v>
      </c>
    </row>
    <row r="24" spans="2:20" ht="15" customHeight="1" x14ac:dyDescent="0.2">
      <c r="B24" s="2" t="s">
        <v>341</v>
      </c>
      <c r="C24" s="21">
        <f>C8+D8+E8+F8</f>
        <v>0</v>
      </c>
      <c r="D24" s="21">
        <f>G8+H8+I8+J8</f>
        <v>0</v>
      </c>
      <c r="E24" s="21">
        <f>K8</f>
        <v>0</v>
      </c>
      <c r="F24" s="21">
        <f>L8</f>
        <v>0</v>
      </c>
      <c r="G24" s="21">
        <f>(M8)/3</f>
        <v>0</v>
      </c>
      <c r="H24" s="21">
        <f>(M8)/3</f>
        <v>0</v>
      </c>
      <c r="I24" s="21">
        <f>(M8)/3</f>
        <v>0</v>
      </c>
      <c r="J24" s="21">
        <f>(N8)/3</f>
        <v>0</v>
      </c>
      <c r="K24" s="21">
        <f>(N8)/3</f>
        <v>0</v>
      </c>
      <c r="L24" s="21">
        <f>(N8)/3</f>
        <v>0</v>
      </c>
      <c r="M24" s="21">
        <f>(O8)/3</f>
        <v>0</v>
      </c>
      <c r="N24" s="21">
        <f>(O8)/3</f>
        <v>0</v>
      </c>
      <c r="O24" s="21">
        <f>(O8)/3</f>
        <v>0</v>
      </c>
      <c r="P24" s="21">
        <f t="shared" ref="P24:R25" si="12">P8</f>
        <v>0</v>
      </c>
      <c r="Q24" s="21">
        <f t="shared" si="12"/>
        <v>0</v>
      </c>
      <c r="R24" s="21">
        <f t="shared" si="12"/>
        <v>0</v>
      </c>
    </row>
    <row r="25" spans="2:20" ht="15" customHeight="1" x14ac:dyDescent="0.2">
      <c r="B25" s="2" t="s">
        <v>342</v>
      </c>
      <c r="C25" s="21">
        <f>C9+D9+E9+F9</f>
        <v>-116.46931818181656</v>
      </c>
      <c r="D25" s="21">
        <f>G9+H9+I9+J9</f>
        <v>10346.313636363633</v>
      </c>
      <c r="E25" s="21">
        <f>K9</f>
        <v>26412.399999999994</v>
      </c>
      <c r="F25" s="21">
        <f>L9</f>
        <v>26412.399999999994</v>
      </c>
      <c r="G25" s="21">
        <f>(M9)/3</f>
        <v>10546.162500000015</v>
      </c>
      <c r="H25" s="21">
        <f>(M9)/3</f>
        <v>10546.162500000015</v>
      </c>
      <c r="I25" s="21">
        <f>(M9)/3</f>
        <v>10546.162500000015</v>
      </c>
      <c r="J25" s="21">
        <f>(N9)/3</f>
        <v>10829.962500000003</v>
      </c>
      <c r="K25" s="21">
        <f>(N9)/3</f>
        <v>10829.962500000003</v>
      </c>
      <c r="L25" s="21">
        <f>(N9)/3</f>
        <v>10829.962500000003</v>
      </c>
      <c r="M25" s="21">
        <f>(O9)/3</f>
        <v>10829.962500000003</v>
      </c>
      <c r="N25" s="21">
        <f>(O9)/3</f>
        <v>10829.962500000003</v>
      </c>
      <c r="O25" s="21">
        <f>(O9)/3</f>
        <v>10829.962500000003</v>
      </c>
      <c r="P25" s="21">
        <f t="shared" si="12"/>
        <v>10829.962499999994</v>
      </c>
      <c r="Q25" s="21">
        <f t="shared" si="12"/>
        <v>20907.762499999983</v>
      </c>
      <c r="R25" s="21">
        <f t="shared" si="12"/>
        <v>20907.762499999983</v>
      </c>
    </row>
    <row r="26" spans="2:20" ht="15" customHeight="1" x14ac:dyDescent="0.2">
      <c r="B26" s="2" t="s">
        <v>345</v>
      </c>
      <c r="C26" s="21">
        <f>C12+D12+E12+F12</f>
        <v>305.93682954545477</v>
      </c>
      <c r="D26" s="21">
        <f>G12+H12+I12+J12</f>
        <v>2172.7258636363626</v>
      </c>
      <c r="E26" s="21">
        <f>K12</f>
        <v>5546.6039999999985</v>
      </c>
      <c r="F26" s="21">
        <f>L12</f>
        <v>5546.6039999999985</v>
      </c>
      <c r="G26" s="21">
        <f>(M12)/3</f>
        <v>2214.6941250000032</v>
      </c>
      <c r="H26" s="21">
        <f>(M12)/3</f>
        <v>2214.6941250000032</v>
      </c>
      <c r="I26" s="21">
        <f>(M12)/3</f>
        <v>2214.6941250000032</v>
      </c>
      <c r="J26" s="21">
        <f>(N12)/3</f>
        <v>2274.2921250000009</v>
      </c>
      <c r="K26" s="21">
        <f>(N12)/3</f>
        <v>2274.2921250000009</v>
      </c>
      <c r="L26" s="21">
        <f>(N12)/3</f>
        <v>2274.2921250000009</v>
      </c>
      <c r="M26" s="21">
        <f>(O12)/3</f>
        <v>2274.2921250000009</v>
      </c>
      <c r="N26" s="21">
        <f>(O12)/3</f>
        <v>2274.2921250000009</v>
      </c>
      <c r="O26" s="21">
        <f>(O12)/3</f>
        <v>2274.2921250000009</v>
      </c>
      <c r="P26" s="21">
        <f t="shared" ref="P26:R27" si="13">P12</f>
        <v>2274.2921249999986</v>
      </c>
      <c r="Q26" s="21">
        <f t="shared" si="13"/>
        <v>4390.630124999996</v>
      </c>
      <c r="R26" s="21">
        <f t="shared" si="13"/>
        <v>4390.630124999996</v>
      </c>
    </row>
    <row r="27" spans="2:20" ht="15" customHeight="1" x14ac:dyDescent="0.2">
      <c r="B27" s="3" t="s">
        <v>346</v>
      </c>
      <c r="C27" s="22">
        <f>C13+D13+E13+F13</f>
        <v>-422.40614772727145</v>
      </c>
      <c r="D27" s="22">
        <f>G13+H13+I13+J13</f>
        <v>8173.5877727272709</v>
      </c>
      <c r="E27" s="22">
        <f>K13</f>
        <v>20865.795999999995</v>
      </c>
      <c r="F27" s="22">
        <f>L13</f>
        <v>20865.795999999995</v>
      </c>
      <c r="G27" s="22">
        <f>(M13)/3</f>
        <v>8331.4683750000131</v>
      </c>
      <c r="H27" s="22">
        <f>(M13)/3</f>
        <v>8331.4683750000131</v>
      </c>
      <c r="I27" s="22">
        <f>(M13)/3</f>
        <v>8331.4683750000131</v>
      </c>
      <c r="J27" s="22">
        <f>(N13)/3</f>
        <v>8555.6703750000033</v>
      </c>
      <c r="K27" s="22">
        <f>(N13)/3</f>
        <v>8555.6703750000033</v>
      </c>
      <c r="L27" s="22">
        <f>(N13)/3</f>
        <v>8555.6703750000033</v>
      </c>
      <c r="M27" s="22">
        <f>(O13)/3</f>
        <v>8555.6703750000033</v>
      </c>
      <c r="N27" s="22">
        <f>(O13)/3</f>
        <v>8555.6703750000033</v>
      </c>
      <c r="O27" s="22">
        <f>(O13)/3</f>
        <v>8555.6703750000033</v>
      </c>
      <c r="P27" s="22">
        <f t="shared" si="13"/>
        <v>8555.6703749999961</v>
      </c>
      <c r="Q27" s="22">
        <f t="shared" si="13"/>
        <v>16517.132374999986</v>
      </c>
      <c r="R27" s="22">
        <f t="shared" si="13"/>
        <v>16517.132374999986</v>
      </c>
    </row>
    <row r="28" spans="2:20" ht="15" customHeight="1" x14ac:dyDescent="0.2">
      <c r="B28" s="2" t="s">
        <v>347</v>
      </c>
      <c r="C28" s="23">
        <f>IF((C4+D4+E4+F4)=0,0,(C13+D13+E13+F13)/(C4+D4+E4+F4))</f>
        <v>-1.112306549416232E-2</v>
      </c>
      <c r="D28" s="23">
        <f>IF((G4+H4+I4+J4)=0,0,(G13+H13+I13+J13)/(G4+H4+I4+J4))</f>
        <v>9.5526576249673978E-2</v>
      </c>
      <c r="E28" s="23">
        <f>IF((K4)=0,0,(K13)/(K4))</f>
        <v>0.10318802995281173</v>
      </c>
      <c r="F28" s="23">
        <f>IF((L4)=0,0,(L13)/(L4))</f>
        <v>0.10318802995281173</v>
      </c>
      <c r="G28" s="23">
        <f>IF((M4)=0,0,(M13)/(M4))</f>
        <v>8.3920759474928053E-2</v>
      </c>
      <c r="H28" s="23">
        <f>IF((M4)=0,0,(M13)/(M4))</f>
        <v>8.3920759474928053E-2</v>
      </c>
      <c r="I28" s="23">
        <f>IF((M4)=0,0,(M13)/(M4))</f>
        <v>8.3920759474928053E-2</v>
      </c>
      <c r="J28" s="23">
        <f>IF((N4)=0,0,(N13)/(N4))</f>
        <v>8.5933435933130881E-2</v>
      </c>
      <c r="K28" s="23">
        <f>IF((N4)=0,0,(N13)/(N4))</f>
        <v>8.5933435933130881E-2</v>
      </c>
      <c r="L28" s="23">
        <f>IF((N4)=0,0,(N13)/(N4))</f>
        <v>8.5933435933130881E-2</v>
      </c>
      <c r="M28" s="23">
        <f>IF((O4)=0,0,(O13)/(O4))</f>
        <v>8.5933435933130881E-2</v>
      </c>
      <c r="N28" s="23">
        <f>IF((O4)=0,0,(O13)/(O4))</f>
        <v>8.5933435933130881E-2</v>
      </c>
      <c r="O28" s="23">
        <f>IF((O4)=0,0,(O13)/(O4))</f>
        <v>8.5933435933130881E-2</v>
      </c>
      <c r="P28" s="23">
        <f>IF((P4)=0,0,(P13)/(P4))</f>
        <v>8.5933435933130797E-2</v>
      </c>
      <c r="Q28" s="23">
        <f>IF((Q4)=0,0,(Q13)/(Q4))</f>
        <v>8.3078984887260482E-2</v>
      </c>
      <c r="R28" s="23">
        <f>IF((R4)=0,0,(R13)/(R4))</f>
        <v>8.3078984887260482E-2</v>
      </c>
    </row>
    <row r="31" spans="2:20" ht="15" customHeight="1" x14ac:dyDescent="0.2">
      <c r="B31" s="44" t="s">
        <v>264</v>
      </c>
      <c r="C31" s="44"/>
      <c r="D31" s="44"/>
      <c r="E31" s="44"/>
      <c r="F31" s="44"/>
      <c r="G31" s="44"/>
      <c r="H31" s="44"/>
    </row>
    <row r="32" spans="2:20" ht="15" customHeight="1" x14ac:dyDescent="0.2">
      <c r="C32" s="47" t="s">
        <v>265</v>
      </c>
      <c r="D32" s="47"/>
      <c r="E32" s="47" t="s">
        <v>240</v>
      </c>
      <c r="F32" s="47"/>
      <c r="G32" s="47"/>
      <c r="H32" s="47"/>
    </row>
    <row r="33" spans="2:8" ht="30" customHeight="1" x14ac:dyDescent="0.2">
      <c r="B33" s="15" t="s">
        <v>266</v>
      </c>
      <c r="C33" s="12" t="s">
        <v>267</v>
      </c>
      <c r="D33" s="12" t="s">
        <v>268</v>
      </c>
      <c r="E33" s="12" t="s">
        <v>269</v>
      </c>
      <c r="F33" s="12" t="s">
        <v>270</v>
      </c>
      <c r="G33" s="12" t="s">
        <v>271</v>
      </c>
      <c r="H33" s="12" t="s">
        <v>272</v>
      </c>
    </row>
    <row r="34" spans="2:8" ht="15" customHeight="1" x14ac:dyDescent="0.2">
      <c r="B34" s="3" t="s">
        <v>279</v>
      </c>
      <c r="C34" s="22">
        <f>SUM(C4:F4)</f>
        <v>37975.695454545457</v>
      </c>
      <c r="D34" s="22">
        <f>SUM(G4:L4)</f>
        <v>489986.29545454541</v>
      </c>
      <c r="E34" s="22">
        <f t="shared" ref="E34:G36" si="14">SUM(M4:M4)</f>
        <v>297833.40000000002</v>
      </c>
      <c r="F34" s="22">
        <f t="shared" si="14"/>
        <v>298684.79999999999</v>
      </c>
      <c r="G34" s="22">
        <f t="shared" si="14"/>
        <v>298684.79999999999</v>
      </c>
      <c r="H34" s="22">
        <f>SUM(P4:R4)</f>
        <v>497186.4</v>
      </c>
    </row>
    <row r="35" spans="2:8" ht="15" customHeight="1" x14ac:dyDescent="0.2">
      <c r="B35" s="2" t="s">
        <v>338</v>
      </c>
      <c r="C35" s="21">
        <f>SUM(C5:F5)</f>
        <v>38092.164772727272</v>
      </c>
      <c r="D35" s="21">
        <f>SUM(G5:L5)</f>
        <v>426815.18181818182</v>
      </c>
      <c r="E35" s="21">
        <f t="shared" si="14"/>
        <v>266194.91249999998</v>
      </c>
      <c r="F35" s="21">
        <f t="shared" si="14"/>
        <v>266194.91249999998</v>
      </c>
      <c r="G35" s="21">
        <f t="shared" si="14"/>
        <v>266194.91249999998</v>
      </c>
      <c r="H35" s="21">
        <f>SUM(P5:R5)</f>
        <v>444540.91250000003</v>
      </c>
    </row>
    <row r="36" spans="2:8" ht="15" customHeight="1" x14ac:dyDescent="0.2">
      <c r="B36" s="3" t="s">
        <v>339</v>
      </c>
      <c r="C36" s="22">
        <f>SUM(C6:F6)</f>
        <v>-116.46931818181656</v>
      </c>
      <c r="D36" s="22">
        <f>SUM(G6:L6)</f>
        <v>63171.113636363618</v>
      </c>
      <c r="E36" s="22">
        <f t="shared" si="14"/>
        <v>31638.487500000047</v>
      </c>
      <c r="F36" s="22">
        <f t="shared" si="14"/>
        <v>32489.887500000012</v>
      </c>
      <c r="G36" s="22">
        <f t="shared" si="14"/>
        <v>32489.887500000012</v>
      </c>
      <c r="H36" s="22">
        <f>SUM(P6:R6)</f>
        <v>52645.487499999959</v>
      </c>
    </row>
    <row r="37" spans="2:8" ht="15" customHeight="1" x14ac:dyDescent="0.2">
      <c r="B37" s="2" t="s">
        <v>340</v>
      </c>
      <c r="C37" s="23">
        <f>IF(SUM(C4:F4)=0,0,SUM(C6:F6)/SUM(C4:F4))</f>
        <v>-3.0669436540332246E-3</v>
      </c>
      <c r="D37" s="23">
        <f>IF(SUM(G4:L4)=0,0,SUM(G6:L6)/SUM(G4:L4))</f>
        <v>0.12892424588683996</v>
      </c>
      <c r="E37" s="23">
        <f>IF(SUM(M4:M4)=0,0,SUM(M6:M6)/SUM(M4:M4))</f>
        <v>0.10622880946193423</v>
      </c>
      <c r="F37" s="23">
        <f>IF(SUM(N4:N4)=0,0,SUM(N6:N6)/SUM(N4:N4))</f>
        <v>0.10877650118117833</v>
      </c>
      <c r="G37" s="23">
        <f>IF(SUM(O4:O4)=0,0,SUM(O6:O6)/SUM(O4:O4))</f>
        <v>0.10877650118117833</v>
      </c>
      <c r="H37" s="23">
        <f>IF(SUM(P4:R4)=0,0,SUM(P6:R6)/SUM(P4:R4))</f>
        <v>0.10588682132093709</v>
      </c>
    </row>
    <row r="38" spans="2:8" ht="15" customHeight="1" x14ac:dyDescent="0.2">
      <c r="B38" s="2" t="s">
        <v>341</v>
      </c>
      <c r="C38" s="21">
        <f>SUM(C8:F8)</f>
        <v>0</v>
      </c>
      <c r="D38" s="21">
        <f>SUM(G8:L8)</f>
        <v>0</v>
      </c>
      <c r="E38" s="21">
        <f t="shared" ref="E38:G39" si="15">SUM(M8:M8)</f>
        <v>0</v>
      </c>
      <c r="F38" s="21">
        <f t="shared" si="15"/>
        <v>0</v>
      </c>
      <c r="G38" s="21">
        <f t="shared" si="15"/>
        <v>0</v>
      </c>
      <c r="H38" s="21">
        <f>SUM(P8:R8)</f>
        <v>0</v>
      </c>
    </row>
    <row r="39" spans="2:8" ht="15" customHeight="1" x14ac:dyDescent="0.2">
      <c r="B39" s="2" t="s">
        <v>342</v>
      </c>
      <c r="C39" s="21">
        <f>SUM(C9:F9)</f>
        <v>-116.46931818181656</v>
      </c>
      <c r="D39" s="21">
        <f>SUM(G9:L9)</f>
        <v>63171.113636363618</v>
      </c>
      <c r="E39" s="21">
        <f t="shared" si="15"/>
        <v>31638.487500000047</v>
      </c>
      <c r="F39" s="21">
        <f t="shared" si="15"/>
        <v>32489.887500000012</v>
      </c>
      <c r="G39" s="21">
        <f t="shared" si="15"/>
        <v>32489.887500000012</v>
      </c>
      <c r="H39" s="21">
        <f>SUM(P9:R9)</f>
        <v>52645.487499999959</v>
      </c>
    </row>
    <row r="40" spans="2:8" ht="15" customHeight="1" x14ac:dyDescent="0.2">
      <c r="B40" s="2" t="s">
        <v>345</v>
      </c>
      <c r="C40" s="21">
        <f>SUM(C12:F12)</f>
        <v>305.93682954545477</v>
      </c>
      <c r="D40" s="21">
        <f>SUM(G12:L12)</f>
        <v>13265.933863636361</v>
      </c>
      <c r="E40" s="21">
        <f t="shared" ref="E40:G41" si="16">SUM(M12:M12)</f>
        <v>6644.08237500001</v>
      </c>
      <c r="F40" s="21">
        <f t="shared" si="16"/>
        <v>6822.8763750000026</v>
      </c>
      <c r="G40" s="21">
        <f t="shared" si="16"/>
        <v>6822.8763750000026</v>
      </c>
      <c r="H40" s="21">
        <f>SUM(P12:R12)</f>
        <v>11055.55237499999</v>
      </c>
    </row>
    <row r="41" spans="2:8" ht="15" customHeight="1" x14ac:dyDescent="0.2">
      <c r="B41" s="3" t="s">
        <v>346</v>
      </c>
      <c r="C41" s="22">
        <f>SUM(C13:F13)</f>
        <v>-422.40614772727145</v>
      </c>
      <c r="D41" s="22">
        <f>SUM(G13:L13)</f>
        <v>49905.179772727264</v>
      </c>
      <c r="E41" s="22">
        <f t="shared" si="16"/>
        <v>24994.405125000038</v>
      </c>
      <c r="F41" s="22">
        <f t="shared" si="16"/>
        <v>25667.011125000008</v>
      </c>
      <c r="G41" s="22">
        <f t="shared" si="16"/>
        <v>25667.011125000008</v>
      </c>
      <c r="H41" s="22">
        <f>SUM(P13:R13)</f>
        <v>41589.935124999967</v>
      </c>
    </row>
    <row r="42" spans="2:8" ht="15" customHeight="1" x14ac:dyDescent="0.2">
      <c r="B42" s="2" t="s">
        <v>347</v>
      </c>
      <c r="C42" s="23">
        <f>IF(SUM(C4:F4)=0,0,SUM(C13:F13)/SUM(C4:F4))</f>
        <v>-1.112306549416232E-2</v>
      </c>
      <c r="D42" s="23">
        <f>IF(SUM(G4:L4)=0,0,SUM(G13:L13)/SUM(G4:L4))</f>
        <v>0.10185015425060356</v>
      </c>
      <c r="E42" s="23">
        <f>IF(SUM(M4:M4)=0,0,SUM(M13:M13)/SUM(M4:M4))</f>
        <v>8.3920759474928053E-2</v>
      </c>
      <c r="F42" s="23">
        <f>IF(SUM(N4:N4)=0,0,SUM(N13:N13)/SUM(N4:N4))</f>
        <v>8.5933435933130881E-2</v>
      </c>
      <c r="G42" s="23">
        <f>IF(SUM(O4:O4)=0,0,SUM(O13:O13)/SUM(O4:O4))</f>
        <v>8.5933435933130881E-2</v>
      </c>
      <c r="H42" s="23">
        <f>IF(SUM(P4:R4)=0,0,SUM(P13:R13)/SUM(P4:R4))</f>
        <v>8.3650588843540305E-2</v>
      </c>
    </row>
  </sheetData>
  <mergeCells count="9">
    <mergeCell ref="B31:H31"/>
    <mergeCell ref="C32:D32"/>
    <mergeCell ref="E32:H32"/>
    <mergeCell ref="B1:T1"/>
    <mergeCell ref="C2:L2"/>
    <mergeCell ref="M2:R2"/>
    <mergeCell ref="B17:R17"/>
    <mergeCell ref="C18:F18"/>
    <mergeCell ref="G18:R1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A43"/>
  <sheetViews>
    <sheetView showGridLines="0" zoomScale="134" zoomScaleNormal="100" workbookViewId="0">
      <pane xSplit="2" ySplit="3" topLeftCell="S4" activePane="bottomRight" state="frozen"/>
      <selection pane="topRight" activeCell="C1" sqref="C1"/>
      <selection pane="bottomLeft" activeCell="A4" sqref="A4"/>
      <selection pane="bottomRight" activeCell="AA13" sqref="AA13"/>
    </sheetView>
  </sheetViews>
  <sheetFormatPr baseColWidth="10" defaultColWidth="8.6640625" defaultRowHeight="15" x14ac:dyDescent="0.2"/>
  <cols>
    <col min="1" max="1" width="2.5" customWidth="1"/>
    <col min="2" max="2" width="44" customWidth="1"/>
    <col min="3" max="18" width="9.5" customWidth="1"/>
    <col min="19" max="20" width="12" customWidth="1"/>
  </cols>
  <sheetData>
    <row r="1" spans="2:27" ht="25.5" customHeight="1" x14ac:dyDescent="0.2">
      <c r="B1" s="45" t="s">
        <v>348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</row>
    <row r="2" spans="2:27" ht="15" customHeight="1" x14ac:dyDescent="0.2">
      <c r="C2" s="47" t="s">
        <v>222</v>
      </c>
      <c r="D2" s="47"/>
      <c r="E2" s="47"/>
      <c r="F2" s="47"/>
      <c r="G2" s="47"/>
      <c r="H2" s="47"/>
      <c r="I2" s="47"/>
      <c r="J2" s="47"/>
      <c r="K2" s="47"/>
      <c r="L2" s="47"/>
      <c r="M2" s="47" t="s">
        <v>223</v>
      </c>
      <c r="N2" s="47"/>
      <c r="O2" s="47"/>
      <c r="P2" s="47"/>
      <c r="Q2" s="47"/>
      <c r="R2" s="47"/>
    </row>
    <row r="3" spans="2:27" ht="33.75" customHeight="1" x14ac:dyDescent="0.2">
      <c r="B3" s="15" t="s">
        <v>224</v>
      </c>
      <c r="C3" s="12" t="s">
        <v>202</v>
      </c>
      <c r="D3" s="12" t="s">
        <v>203</v>
      </c>
      <c r="E3" s="12" t="s">
        <v>204</v>
      </c>
      <c r="F3" s="12" t="s">
        <v>205</v>
      </c>
      <c r="G3" s="12" t="s">
        <v>206</v>
      </c>
      <c r="H3" s="12" t="s">
        <v>207</v>
      </c>
      <c r="I3" s="12" t="s">
        <v>208</v>
      </c>
      <c r="J3" s="12" t="s">
        <v>209</v>
      </c>
      <c r="K3" s="12" t="s">
        <v>210</v>
      </c>
      <c r="L3" s="12" t="s">
        <v>211</v>
      </c>
      <c r="M3" s="12" t="s">
        <v>212</v>
      </c>
      <c r="N3" s="12" t="s">
        <v>213</v>
      </c>
      <c r="O3" s="12" t="s">
        <v>214</v>
      </c>
      <c r="P3" s="12" t="s">
        <v>215</v>
      </c>
      <c r="Q3" s="12" t="s">
        <v>216</v>
      </c>
      <c r="R3" s="12" t="s">
        <v>217</v>
      </c>
      <c r="S3" s="12" t="s">
        <v>225</v>
      </c>
      <c r="T3" s="12" t="s">
        <v>226</v>
      </c>
    </row>
    <row r="4" spans="2:27" ht="15" customHeight="1" x14ac:dyDescent="0.2">
      <c r="B4" s="2" t="s">
        <v>349</v>
      </c>
      <c r="C4" s="21">
        <f>DRE_PL!C13</f>
        <v>-901.80113636363603</v>
      </c>
      <c r="D4" s="21">
        <f>DRE_PL!D13</f>
        <v>-671.51022727272721</v>
      </c>
      <c r="E4" s="21">
        <f>DRE_PL!E13</f>
        <v>371.71205681818202</v>
      </c>
      <c r="F4" s="21">
        <f>DRE_PL!F13</f>
        <v>779.19315909090983</v>
      </c>
      <c r="G4" s="21">
        <f>DRE_PL!G13</f>
        <v>1681.398295454545</v>
      </c>
      <c r="H4" s="21">
        <f>DRE_PL!H13</f>
        <v>1863.3281136363657</v>
      </c>
      <c r="I4" s="21">
        <f>DRE_PL!I13</f>
        <v>2314.4306818181799</v>
      </c>
      <c r="J4" s="21">
        <f>DRE_PL!J13</f>
        <v>2314.4306818181799</v>
      </c>
      <c r="K4" s="21">
        <f>DRE_PL!K13</f>
        <v>20865.795999999995</v>
      </c>
      <c r="L4" s="21">
        <f>DRE_PL!L13</f>
        <v>20865.795999999995</v>
      </c>
      <c r="M4" s="21">
        <f>DRE_PL!M13</f>
        <v>24994.405125000038</v>
      </c>
      <c r="N4" s="21">
        <f>DRE_PL!N13</f>
        <v>25667.011125000008</v>
      </c>
      <c r="O4" s="21">
        <f>DRE_PL!O13</f>
        <v>25667.011125000008</v>
      </c>
      <c r="P4" s="21">
        <f>DRE_PL!P13</f>
        <v>8555.6703749999961</v>
      </c>
      <c r="Q4" s="21">
        <f>DRE_PL!Q13</f>
        <v>16517.132374999986</v>
      </c>
      <c r="R4" s="21">
        <f>DRE_PL!R13</f>
        <v>16517.132374999986</v>
      </c>
      <c r="S4" s="21">
        <f t="shared" ref="S4:S10" si="0">C4+D4+E4+F4+G4+H4+I4+J4+K4+L4</f>
        <v>49482.773624999987</v>
      </c>
      <c r="T4" s="21">
        <f t="shared" ref="T4:T10" si="1">M4+N4+O4+P4+Q4+R4</f>
        <v>117918.36250000003</v>
      </c>
    </row>
    <row r="5" spans="2:27" ht="15" customHeight="1" x14ac:dyDescent="0.2">
      <c r="B5" s="2" t="s">
        <v>350</v>
      </c>
      <c r="C5" s="21">
        <f>DRE_PL!C8</f>
        <v>0</v>
      </c>
      <c r="D5" s="21">
        <f>DRE_PL!D8</f>
        <v>0</v>
      </c>
      <c r="E5" s="21">
        <f>DRE_PL!E8</f>
        <v>0</v>
      </c>
      <c r="F5" s="21">
        <f>DRE_PL!F8</f>
        <v>0</v>
      </c>
      <c r="G5" s="21">
        <f>DRE_PL!G8</f>
        <v>0</v>
      </c>
      <c r="H5" s="21">
        <f>DRE_PL!H8</f>
        <v>0</v>
      </c>
      <c r="I5" s="21">
        <f>DRE_PL!I8</f>
        <v>0</v>
      </c>
      <c r="J5" s="21">
        <f>DRE_PL!J8</f>
        <v>0</v>
      </c>
      <c r="K5" s="21">
        <f>DRE_PL!K8</f>
        <v>0</v>
      </c>
      <c r="L5" s="21">
        <f>DRE_PL!L8</f>
        <v>0</v>
      </c>
      <c r="M5" s="21">
        <f>DRE_PL!M8</f>
        <v>0</v>
      </c>
      <c r="N5" s="21">
        <f>DRE_PL!N8</f>
        <v>0</v>
      </c>
      <c r="O5" s="21">
        <f>DRE_PL!O8</f>
        <v>0</v>
      </c>
      <c r="P5" s="21">
        <f>DRE_PL!P8</f>
        <v>0</v>
      </c>
      <c r="Q5" s="21">
        <f>DRE_PL!Q8</f>
        <v>0</v>
      </c>
      <c r="R5" s="21">
        <f>DRE_PL!R8</f>
        <v>0</v>
      </c>
      <c r="S5" s="21">
        <f t="shared" si="0"/>
        <v>0</v>
      </c>
      <c r="T5" s="21">
        <f t="shared" si="1"/>
        <v>0</v>
      </c>
    </row>
    <row r="6" spans="2:27" ht="21.75" customHeight="1" x14ac:dyDescent="0.2">
      <c r="B6" s="2" t="s">
        <v>351</v>
      </c>
      <c r="C6" s="21">
        <f>C22+C23+IVA_VAT!C29</f>
        <v>-2503.1579545454551</v>
      </c>
      <c r="D6" s="21">
        <f>D22+D23+IVA_VAT!D29</f>
        <v>-1757.7203409090905</v>
      </c>
      <c r="E6" s="21">
        <f>E22+E23+IVA_VAT!E29</f>
        <v>-2676.1024999999991</v>
      </c>
      <c r="F6" s="21">
        <f>F22+F23+IVA_VAT!F29</f>
        <v>-2426.7459659090905</v>
      </c>
      <c r="G6" s="21">
        <f>G22+G23+IVA_VAT!G29</f>
        <v>-2676.1024999999986</v>
      </c>
      <c r="H6" s="21">
        <f>H22+H23+IVA_VAT!H29</f>
        <v>-1757.7203409090944</v>
      </c>
      <c r="I6" s="21">
        <f>I22+I23+IVA_VAT!I29</f>
        <v>-1338.051249999995</v>
      </c>
      <c r="J6" s="21">
        <f>J22+J23+IVA_VAT!J29</f>
        <v>0</v>
      </c>
      <c r="K6" s="21">
        <f>K22+K23+IVA_VAT!K29</f>
        <v>-123213.52039772729</v>
      </c>
      <c r="L6" s="21">
        <f>L22+L23+IVA_VAT!L29</f>
        <v>0</v>
      </c>
      <c r="M6" s="21">
        <f>M22+M23+IVA_VAT!M29</f>
        <v>44387.22993956045</v>
      </c>
      <c r="N6" s="21">
        <f>N22+N23+IVA_VAT!N29</f>
        <v>-322.0350329670473</v>
      </c>
      <c r="O6" s="21">
        <f>O22+O23+IVA_VAT!O29</f>
        <v>0</v>
      </c>
      <c r="P6" s="21">
        <f>P22+P23+IVA_VAT!P29</f>
        <v>29623.235093406605</v>
      </c>
      <c r="Q6" s="21">
        <f>Q22+Q23+IVA_VAT!Q29</f>
        <v>-68330.51499999997</v>
      </c>
      <c r="R6" s="21">
        <f>R22+R23+IVA_VAT!R29</f>
        <v>0</v>
      </c>
      <c r="S6" s="21">
        <f t="shared" si="0"/>
        <v>-138349.12125000003</v>
      </c>
      <c r="T6" s="21">
        <f t="shared" si="1"/>
        <v>5357.9150000000373</v>
      </c>
      <c r="X6" s="53"/>
      <c r="Y6" s="53"/>
      <c r="Z6" s="53"/>
      <c r="AA6" s="53"/>
    </row>
    <row r="7" spans="2:27" ht="15" customHeight="1" x14ac:dyDescent="0.2">
      <c r="B7" s="3" t="s">
        <v>352</v>
      </c>
      <c r="C7" s="22">
        <f t="shared" ref="C7:R7" si="2">C4+C5+C6</f>
        <v>-3404.9590909090912</v>
      </c>
      <c r="D7" s="22">
        <f t="shared" si="2"/>
        <v>-2429.2305681818179</v>
      </c>
      <c r="E7" s="22">
        <f t="shared" si="2"/>
        <v>-2304.3904431818169</v>
      </c>
      <c r="F7" s="22">
        <f t="shared" si="2"/>
        <v>-1647.5528068181807</v>
      </c>
      <c r="G7" s="22">
        <f t="shared" si="2"/>
        <v>-994.70420454545365</v>
      </c>
      <c r="H7" s="22">
        <f t="shared" si="2"/>
        <v>105.60777272727137</v>
      </c>
      <c r="I7" s="22">
        <f t="shared" si="2"/>
        <v>976.37943181818491</v>
      </c>
      <c r="J7" s="22">
        <f t="shared" si="2"/>
        <v>2314.4306818181799</v>
      </c>
      <c r="K7" s="22">
        <f t="shared" si="2"/>
        <v>-102347.72439772729</v>
      </c>
      <c r="L7" s="22">
        <f t="shared" si="2"/>
        <v>20865.795999999995</v>
      </c>
      <c r="M7" s="22">
        <f t="shared" si="2"/>
        <v>69381.635064560483</v>
      </c>
      <c r="N7" s="22">
        <f t="shared" si="2"/>
        <v>25344.976092032961</v>
      </c>
      <c r="O7" s="22">
        <f t="shared" si="2"/>
        <v>25667.011125000008</v>
      </c>
      <c r="P7" s="22">
        <f t="shared" si="2"/>
        <v>38178.9054684066</v>
      </c>
      <c r="Q7" s="22">
        <f t="shared" si="2"/>
        <v>-51813.382624999984</v>
      </c>
      <c r="R7" s="22">
        <f t="shared" si="2"/>
        <v>16517.132374999986</v>
      </c>
      <c r="S7" s="22">
        <f t="shared" si="0"/>
        <v>-88866.347625000024</v>
      </c>
      <c r="T7" s="22">
        <f t="shared" si="1"/>
        <v>123276.27750000004</v>
      </c>
      <c r="X7" s="53"/>
      <c r="Y7" s="53"/>
      <c r="Z7" s="53"/>
      <c r="AA7" s="53"/>
    </row>
    <row r="8" spans="2:27" ht="15" customHeight="1" x14ac:dyDescent="0.2">
      <c r="B8" s="2" t="s">
        <v>353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f t="shared" si="0"/>
        <v>0</v>
      </c>
      <c r="T8" s="21">
        <f t="shared" si="1"/>
        <v>0</v>
      </c>
      <c r="X8" s="53" t="s">
        <v>497</v>
      </c>
      <c r="Y8" s="53"/>
      <c r="Z8" s="53"/>
      <c r="AA8" s="53"/>
    </row>
    <row r="9" spans="2:27" ht="15" customHeight="1" x14ac:dyDescent="0.2">
      <c r="B9" s="2" t="s">
        <v>354</v>
      </c>
      <c r="C9" s="21">
        <v>0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f t="shared" si="0"/>
        <v>0</v>
      </c>
      <c r="T9" s="21">
        <f t="shared" si="1"/>
        <v>0</v>
      </c>
      <c r="X9" s="53"/>
      <c r="Y9" s="53"/>
      <c r="Z9" s="53"/>
      <c r="AA9" s="53"/>
    </row>
    <row r="10" spans="2:27" ht="15" customHeight="1" x14ac:dyDescent="0.2">
      <c r="B10" s="3" t="s">
        <v>355</v>
      </c>
      <c r="C10" s="22">
        <f t="shared" ref="C10:R10" si="3">C7-C8-C9</f>
        <v>-3404.9590909090912</v>
      </c>
      <c r="D10" s="22">
        <f t="shared" si="3"/>
        <v>-2429.2305681818179</v>
      </c>
      <c r="E10" s="22">
        <f t="shared" si="3"/>
        <v>-2304.3904431818169</v>
      </c>
      <c r="F10" s="22">
        <f t="shared" si="3"/>
        <v>-1647.5528068181807</v>
      </c>
      <c r="G10" s="22">
        <f t="shared" si="3"/>
        <v>-994.70420454545365</v>
      </c>
      <c r="H10" s="22">
        <f t="shared" si="3"/>
        <v>105.60777272727137</v>
      </c>
      <c r="I10" s="22">
        <f t="shared" si="3"/>
        <v>976.37943181818491</v>
      </c>
      <c r="J10" s="22">
        <f t="shared" si="3"/>
        <v>2314.4306818181799</v>
      </c>
      <c r="K10" s="22">
        <f t="shared" si="3"/>
        <v>-102347.72439772729</v>
      </c>
      <c r="L10" s="22">
        <f t="shared" si="3"/>
        <v>20865.795999999995</v>
      </c>
      <c r="M10" s="22">
        <f t="shared" si="3"/>
        <v>69381.635064560483</v>
      </c>
      <c r="N10" s="22">
        <f t="shared" si="3"/>
        <v>25344.976092032961</v>
      </c>
      <c r="O10" s="22">
        <f t="shared" si="3"/>
        <v>25667.011125000008</v>
      </c>
      <c r="P10" s="22">
        <f t="shared" si="3"/>
        <v>38178.9054684066</v>
      </c>
      <c r="Q10" s="22">
        <f t="shared" si="3"/>
        <v>-51813.382624999984</v>
      </c>
      <c r="R10" s="22">
        <f t="shared" si="3"/>
        <v>16517.132374999986</v>
      </c>
      <c r="S10" s="22">
        <f t="shared" si="0"/>
        <v>-88866.347625000024</v>
      </c>
      <c r="T10" s="22">
        <f t="shared" si="1"/>
        <v>123276.27750000004</v>
      </c>
    </row>
    <row r="11" spans="2:27" ht="15" customHeight="1" x14ac:dyDescent="0.2">
      <c r="B11" s="2" t="s">
        <v>356</v>
      </c>
      <c r="C11" s="21">
        <f>Pressupostos_Assumpt!C73</f>
        <v>80000</v>
      </c>
      <c r="D11" s="21">
        <f t="shared" ref="D11:R11" si="4">C16</f>
        <v>76595.040909090909</v>
      </c>
      <c r="E11" s="21">
        <f t="shared" si="4"/>
        <v>74165.810340909084</v>
      </c>
      <c r="F11" s="21">
        <f t="shared" si="4"/>
        <v>71861.419897727261</v>
      </c>
      <c r="G11" s="21">
        <f t="shared" si="4"/>
        <v>70213.867090909087</v>
      </c>
      <c r="H11" s="21">
        <f t="shared" si="4"/>
        <v>69219.162886363629</v>
      </c>
      <c r="I11" s="21">
        <f t="shared" si="4"/>
        <v>69324.770659090893</v>
      </c>
      <c r="J11" s="21">
        <f t="shared" si="4"/>
        <v>70301.150090909083</v>
      </c>
      <c r="K11" s="21">
        <f t="shared" si="4"/>
        <v>72615.580772727262</v>
      </c>
      <c r="L11" s="21">
        <f t="shared" si="4"/>
        <v>0</v>
      </c>
      <c r="M11" s="21">
        <f t="shared" si="4"/>
        <v>0</v>
      </c>
      <c r="N11" s="21">
        <f t="shared" si="4"/>
        <v>60135.781910410449</v>
      </c>
      <c r="O11" s="21">
        <f t="shared" si="4"/>
        <v>85480.758002443414</v>
      </c>
      <c r="P11" s="21">
        <f t="shared" si="4"/>
        <v>111147.76912744342</v>
      </c>
      <c r="Q11" s="21">
        <f t="shared" si="4"/>
        <v>149326.67459585003</v>
      </c>
      <c r="R11" s="21">
        <f t="shared" si="4"/>
        <v>97513.291970850041</v>
      </c>
      <c r="S11" s="21">
        <f>L11</f>
        <v>0</v>
      </c>
      <c r="T11" s="21">
        <f>R11</f>
        <v>97513.291970850041</v>
      </c>
    </row>
    <row r="12" spans="2:27" ht="15" customHeight="1" x14ac:dyDescent="0.2">
      <c r="B12" s="2" t="s">
        <v>357</v>
      </c>
      <c r="C12" s="21">
        <v>0</v>
      </c>
      <c r="D12" s="21">
        <f>C17*Pressupostos_Assumpt!C93*Operacao_Operations!D5/12</f>
        <v>0</v>
      </c>
      <c r="E12" s="21">
        <f>D17*Pressupostos_Assumpt!C93*Operacao_Operations!E5/12</f>
        <v>0</v>
      </c>
      <c r="F12" s="21">
        <f>E17*Pressupostos_Assumpt!C93*Operacao_Operations!F5/12</f>
        <v>0</v>
      </c>
      <c r="G12" s="21">
        <f>F17*Pressupostos_Assumpt!C93*Operacao_Operations!G5/12</f>
        <v>0</v>
      </c>
      <c r="H12" s="21">
        <f>G17*Pressupostos_Assumpt!C93*Operacao_Operations!H5/12</f>
        <v>0</v>
      </c>
      <c r="I12" s="21">
        <f>H17*Pressupostos_Assumpt!C93*Operacao_Operations!I5/12</f>
        <v>0</v>
      </c>
      <c r="J12" s="21">
        <f>I17*Pressupostos_Assumpt!C93*Operacao_Operations!J5/12</f>
        <v>0</v>
      </c>
      <c r="K12" s="21">
        <f>J17*Pressupostos_Assumpt!C93*Operacao_Operations!K5/12</f>
        <v>0</v>
      </c>
      <c r="L12" s="21">
        <f>K17*Pressupostos_Assumpt!C93*Operacao_Operations!L5/12</f>
        <v>198.21429083333351</v>
      </c>
      <c r="M12" s="21">
        <f>L17*Pressupostos_Assumpt!C93*Operacao_Operations!M5/12</f>
        <v>181.29123831666729</v>
      </c>
      <c r="N12" s="21">
        <f>M17*Pressupostos_Assumpt!C93*Operacao_Operations!N5/12</f>
        <v>0</v>
      </c>
      <c r="O12" s="21">
        <f>N17*Pressupostos_Assumpt!C93*Operacao_Operations!O5/12</f>
        <v>0</v>
      </c>
      <c r="P12" s="21">
        <f>O17*Pressupostos_Assumpt!C93*Operacao_Operations!P5/12</f>
        <v>0</v>
      </c>
      <c r="Q12" s="21">
        <f>P17*Pressupostos_Assumpt!C93*Operacao_Operations!Q5/12</f>
        <v>0</v>
      </c>
      <c r="R12" s="21">
        <f>Q17*Pressupostos_Assumpt!C93*Operacao_Operations!R5/12</f>
        <v>0</v>
      </c>
      <c r="S12" s="21">
        <f>C12+D12+E12+F12+G12+H12+I12+J12+K12+L12</f>
        <v>198.21429083333351</v>
      </c>
      <c r="T12" s="21">
        <f>M12+N12+O12+P12+Q12+R12</f>
        <v>181.29123831666729</v>
      </c>
    </row>
    <row r="13" spans="2:27" ht="15" customHeight="1" x14ac:dyDescent="0.2">
      <c r="B13" s="3" t="s">
        <v>358</v>
      </c>
      <c r="C13" s="22">
        <f t="shared" ref="C13:R13" si="5">C11+C10-C12</f>
        <v>76595.040909090909</v>
      </c>
      <c r="D13" s="22">
        <f t="shared" si="5"/>
        <v>74165.810340909084</v>
      </c>
      <c r="E13" s="22">
        <f t="shared" si="5"/>
        <v>71861.419897727261</v>
      </c>
      <c r="F13" s="22">
        <f t="shared" si="5"/>
        <v>70213.867090909087</v>
      </c>
      <c r="G13" s="22">
        <f t="shared" si="5"/>
        <v>69219.162886363629</v>
      </c>
      <c r="H13" s="22">
        <f t="shared" si="5"/>
        <v>69324.770659090893</v>
      </c>
      <c r="I13" s="22">
        <f t="shared" si="5"/>
        <v>70301.150090909083</v>
      </c>
      <c r="J13" s="22">
        <f t="shared" si="5"/>
        <v>72615.580772727262</v>
      </c>
      <c r="K13" s="22">
        <f t="shared" si="5"/>
        <v>-29732.143625000026</v>
      </c>
      <c r="L13" s="22">
        <f t="shared" si="5"/>
        <v>20667.581709166661</v>
      </c>
      <c r="M13" s="22">
        <f t="shared" si="5"/>
        <v>69200.343826243814</v>
      </c>
      <c r="N13" s="22">
        <f t="shared" si="5"/>
        <v>85480.758002443414</v>
      </c>
      <c r="O13" s="22">
        <f t="shared" si="5"/>
        <v>111147.76912744342</v>
      </c>
      <c r="P13" s="22">
        <f t="shared" si="5"/>
        <v>149326.67459585003</v>
      </c>
      <c r="Q13" s="22">
        <f t="shared" si="5"/>
        <v>97513.291970850041</v>
      </c>
      <c r="R13" s="22">
        <f t="shared" si="5"/>
        <v>114030.42434585003</v>
      </c>
      <c r="S13" s="22">
        <f>L13</f>
        <v>20667.581709166661</v>
      </c>
      <c r="T13" s="22">
        <f>R13</f>
        <v>114030.42434585003</v>
      </c>
    </row>
    <row r="14" spans="2:27" ht="15" customHeight="1" x14ac:dyDescent="0.2">
      <c r="B14" s="2" t="s">
        <v>359</v>
      </c>
      <c r="C14" s="21">
        <f>MIN(MAX(0,-C13),Pressupostos_Assumpt!C92)</f>
        <v>0</v>
      </c>
      <c r="D14" s="21">
        <f>MIN(MAX(0,-D13),Pressupostos_Assumpt!C92-C17)</f>
        <v>0</v>
      </c>
      <c r="E14" s="21">
        <f>MIN(MAX(0,-E13),Pressupostos_Assumpt!C92-D17)</f>
        <v>0</v>
      </c>
      <c r="F14" s="21">
        <f>MIN(MAX(0,-F13),Pressupostos_Assumpt!C92-E17)</f>
        <v>0</v>
      </c>
      <c r="G14" s="21">
        <f>MIN(MAX(0,-G13),Pressupostos_Assumpt!C92-F17)</f>
        <v>0</v>
      </c>
      <c r="H14" s="21">
        <f>MIN(MAX(0,-H13),Pressupostos_Assumpt!C92-G17)</f>
        <v>0</v>
      </c>
      <c r="I14" s="21">
        <f>MIN(MAX(0,-I13),Pressupostos_Assumpt!C92-H17)</f>
        <v>0</v>
      </c>
      <c r="J14" s="21">
        <f>MIN(MAX(0,-J13),Pressupostos_Assumpt!C92-I17)</f>
        <v>0</v>
      </c>
      <c r="K14" s="21">
        <f>MIN(MAX(0,-K13),Pressupostos_Assumpt!C92-J17)</f>
        <v>29732.143625000026</v>
      </c>
      <c r="L14" s="21">
        <f>MIN(MAX(0,-L13),Pressupostos_Assumpt!C92-K17)</f>
        <v>0</v>
      </c>
      <c r="M14" s="21">
        <f>MIN(MAX(0,-M13),Pressupostos_Assumpt!C92-L17)</f>
        <v>0</v>
      </c>
      <c r="N14" s="21">
        <f>MIN(MAX(0,-N13),Pressupostos_Assumpt!C92-M17)</f>
        <v>0</v>
      </c>
      <c r="O14" s="21">
        <f>MIN(MAX(0,-O13),Pressupostos_Assumpt!C92-N17)</f>
        <v>0</v>
      </c>
      <c r="P14" s="21">
        <f>MIN(MAX(0,-P13),Pressupostos_Assumpt!C92-O17)</f>
        <v>0</v>
      </c>
      <c r="Q14" s="21">
        <f>MIN(MAX(0,-Q13),Pressupostos_Assumpt!C92-P17)</f>
        <v>0</v>
      </c>
      <c r="R14" s="21">
        <f>MIN(MAX(0,-R13),Pressupostos_Assumpt!C92-Q17)</f>
        <v>0</v>
      </c>
      <c r="S14" s="21">
        <f>C14+D14+E14+F14+G14+H14+I14+J14+K14+L14</f>
        <v>29732.143625000026</v>
      </c>
      <c r="T14" s="21">
        <f>M14+N14+O14+P14+Q14+R14</f>
        <v>0</v>
      </c>
    </row>
    <row r="15" spans="2:27" ht="15" customHeight="1" x14ac:dyDescent="0.2">
      <c r="B15" s="2" t="s">
        <v>360</v>
      </c>
      <c r="C15" s="21">
        <f>0</f>
        <v>0</v>
      </c>
      <c r="D15" s="21">
        <f t="shared" ref="D15:R15" si="6">MIN(C17,MAX(0,D13))</f>
        <v>0</v>
      </c>
      <c r="E15" s="21">
        <f t="shared" si="6"/>
        <v>0</v>
      </c>
      <c r="F15" s="21">
        <f t="shared" si="6"/>
        <v>0</v>
      </c>
      <c r="G15" s="21">
        <f t="shared" si="6"/>
        <v>0</v>
      </c>
      <c r="H15" s="21">
        <f t="shared" si="6"/>
        <v>0</v>
      </c>
      <c r="I15" s="21">
        <f t="shared" si="6"/>
        <v>0</v>
      </c>
      <c r="J15" s="21">
        <f t="shared" si="6"/>
        <v>0</v>
      </c>
      <c r="K15" s="21">
        <f t="shared" si="6"/>
        <v>0</v>
      </c>
      <c r="L15" s="21">
        <f t="shared" si="6"/>
        <v>20667.581709166661</v>
      </c>
      <c r="M15" s="21">
        <f t="shared" si="6"/>
        <v>9064.5619158333648</v>
      </c>
      <c r="N15" s="21">
        <f t="shared" si="6"/>
        <v>0</v>
      </c>
      <c r="O15" s="21">
        <f t="shared" si="6"/>
        <v>0</v>
      </c>
      <c r="P15" s="21">
        <f t="shared" si="6"/>
        <v>0</v>
      </c>
      <c r="Q15" s="21">
        <f t="shared" si="6"/>
        <v>0</v>
      </c>
      <c r="R15" s="21">
        <f t="shared" si="6"/>
        <v>0</v>
      </c>
      <c r="S15" s="21">
        <f>C15+D15+E15+F15+G15+H15+I15+J15+K15+L15</f>
        <v>20667.581709166661</v>
      </c>
      <c r="T15" s="21">
        <f>M15+N15+O15+P15+Q15+R15</f>
        <v>9064.5619158333648</v>
      </c>
    </row>
    <row r="16" spans="2:27" ht="15" customHeight="1" x14ac:dyDescent="0.2">
      <c r="B16" s="3" t="s">
        <v>361</v>
      </c>
      <c r="C16" s="22">
        <f t="shared" ref="C16:R16" si="7">C13+C14-C15</f>
        <v>76595.040909090909</v>
      </c>
      <c r="D16" s="22">
        <f t="shared" si="7"/>
        <v>74165.810340909084</v>
      </c>
      <c r="E16" s="22">
        <f t="shared" si="7"/>
        <v>71861.419897727261</v>
      </c>
      <c r="F16" s="22">
        <f t="shared" si="7"/>
        <v>70213.867090909087</v>
      </c>
      <c r="G16" s="22">
        <f t="shared" si="7"/>
        <v>69219.162886363629</v>
      </c>
      <c r="H16" s="22">
        <f t="shared" si="7"/>
        <v>69324.770659090893</v>
      </c>
      <c r="I16" s="22">
        <f t="shared" si="7"/>
        <v>70301.150090909083</v>
      </c>
      <c r="J16" s="22">
        <f t="shared" si="7"/>
        <v>72615.580772727262</v>
      </c>
      <c r="K16" s="22">
        <f t="shared" si="7"/>
        <v>0</v>
      </c>
      <c r="L16" s="22">
        <f t="shared" si="7"/>
        <v>0</v>
      </c>
      <c r="M16" s="22">
        <f t="shared" si="7"/>
        <v>60135.781910410449</v>
      </c>
      <c r="N16" s="22">
        <f t="shared" si="7"/>
        <v>85480.758002443414</v>
      </c>
      <c r="O16" s="22">
        <f t="shared" si="7"/>
        <v>111147.76912744342</v>
      </c>
      <c r="P16" s="22">
        <f t="shared" si="7"/>
        <v>149326.67459585003</v>
      </c>
      <c r="Q16" s="22">
        <f t="shared" si="7"/>
        <v>97513.291970850041</v>
      </c>
      <c r="R16" s="22">
        <f t="shared" si="7"/>
        <v>114030.42434585003</v>
      </c>
      <c r="S16" s="22">
        <f>L16</f>
        <v>0</v>
      </c>
      <c r="T16" s="22">
        <f>R16</f>
        <v>114030.42434585003</v>
      </c>
    </row>
    <row r="17" spans="2:20" ht="15" customHeight="1" x14ac:dyDescent="0.2">
      <c r="B17" s="2" t="s">
        <v>362</v>
      </c>
      <c r="C17" s="21">
        <f>C14-C15</f>
        <v>0</v>
      </c>
      <c r="D17" s="21">
        <f t="shared" ref="D17:R17" si="8">C17+D14-D15</f>
        <v>0</v>
      </c>
      <c r="E17" s="21">
        <f t="shared" si="8"/>
        <v>0</v>
      </c>
      <c r="F17" s="21">
        <f t="shared" si="8"/>
        <v>0</v>
      </c>
      <c r="G17" s="21">
        <f t="shared" si="8"/>
        <v>0</v>
      </c>
      <c r="H17" s="21">
        <f t="shared" si="8"/>
        <v>0</v>
      </c>
      <c r="I17" s="21">
        <f t="shared" si="8"/>
        <v>0</v>
      </c>
      <c r="J17" s="21">
        <f t="shared" si="8"/>
        <v>0</v>
      </c>
      <c r="K17" s="21">
        <f t="shared" si="8"/>
        <v>29732.143625000026</v>
      </c>
      <c r="L17" s="21">
        <f t="shared" si="8"/>
        <v>9064.5619158333648</v>
      </c>
      <c r="M17" s="21">
        <f t="shared" si="8"/>
        <v>0</v>
      </c>
      <c r="N17" s="21">
        <f t="shared" si="8"/>
        <v>0</v>
      </c>
      <c r="O17" s="21">
        <f t="shared" si="8"/>
        <v>0</v>
      </c>
      <c r="P17" s="21">
        <f t="shared" si="8"/>
        <v>0</v>
      </c>
      <c r="Q17" s="21">
        <f t="shared" si="8"/>
        <v>0</v>
      </c>
      <c r="R17" s="21">
        <f t="shared" si="8"/>
        <v>0</v>
      </c>
      <c r="S17" s="21">
        <f>L17</f>
        <v>9064.5619158333648</v>
      </c>
      <c r="T17" s="21">
        <f>R17</f>
        <v>0</v>
      </c>
    </row>
    <row r="19" spans="2:20" ht="15" customHeight="1" x14ac:dyDescent="0.2">
      <c r="B19" s="24" t="s">
        <v>363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spans="2:20" ht="21.75" customHeight="1" x14ac:dyDescent="0.2">
      <c r="B20" s="2" t="s">
        <v>364</v>
      </c>
      <c r="C20" s="21">
        <f>Receita_Revenue!C9*(1+Pressupostos_Assumpt!C82)*MIN(1,Pressupostos_Assumpt!C89/7)</f>
        <v>5767.9452272727276</v>
      </c>
      <c r="D20" s="21">
        <f>Receita_Revenue!D9*(1+Pressupostos_Assumpt!C82)*MIN(1,Pressupostos_Assumpt!C89/7)</f>
        <v>9144.848727272727</v>
      </c>
      <c r="E20" s="21">
        <f>Receita_Revenue!E9*(1+Pressupostos_Assumpt!C82)*MIN(1,Pressupostos_Assumpt!C89/7)</f>
        <v>13647.386727272726</v>
      </c>
      <c r="F20" s="21">
        <f>Receita_Revenue!F9*(1+Pressupostos_Assumpt!C82)*MIN(1,Pressupostos_Assumpt!C89/7)</f>
        <v>18149.924727272726</v>
      </c>
      <c r="G20" s="21">
        <f>Receita_Revenue!G9*(1+Pressupostos_Assumpt!C82)*MIN(1,Pressupostos_Assumpt!C89/7)</f>
        <v>22652.462727272727</v>
      </c>
      <c r="H20" s="21">
        <f>Receita_Revenue!H9*(1+Pressupostos_Assumpt!C82)*MIN(1,Pressupostos_Assumpt!C89/7)</f>
        <v>26029.366227272727</v>
      </c>
      <c r="I20" s="21">
        <f>Receita_Revenue!I9*(1+Pressupostos_Assumpt!C82)*MIN(1,Pressupostos_Assumpt!C89/7)</f>
        <v>28280.635227272727</v>
      </c>
      <c r="J20" s="21">
        <f>Receita_Revenue!J9*(1+Pressupostos_Assumpt!C82)*MIN(1,Pressupostos_Assumpt!C89/7)</f>
        <v>28280.635227272727</v>
      </c>
      <c r="K20" s="21">
        <f>Receita_Revenue!K9*(1+Pressupostos_Assumpt!C82)*MIN(1,Pressupostos_Assumpt!C89/30)</f>
        <v>248720.022</v>
      </c>
      <c r="L20" s="21">
        <f>Receita_Revenue!L9*(1+Pressupostos_Assumpt!C82)*MIN(1,Pressupostos_Assumpt!C89/30)</f>
        <v>248720.022</v>
      </c>
      <c r="M20" s="21">
        <f>Receita_Revenue!M9*(1+Pressupostos_Assumpt!D82)*MIN(1,Pressupostos_Assumpt!C89/91)</f>
        <v>181154.71087912089</v>
      </c>
      <c r="N20" s="21">
        <f>Receita_Revenue!N9*(1+Pressupostos_Assumpt!D82)*MIN(1,Pressupostos_Assumpt!C89/91)</f>
        <v>181672.56791208792</v>
      </c>
      <c r="O20" s="21">
        <f>Receita_Revenue!O9*(1+Pressupostos_Assumpt!D82)*MIN(1,Pressupostos_Assumpt!C89/91)</f>
        <v>181672.56791208792</v>
      </c>
      <c r="P20" s="21">
        <f>Receita_Revenue!P9*(1+Pressupostos_Assumpt!D82)*MIN(1,Pressupostos_Assumpt!C89/30)</f>
        <v>122460.76800000001</v>
      </c>
      <c r="Q20" s="21">
        <f>Receita_Revenue!Q9*(1+Pressupostos_Assumpt!D82)*MIN(1,Pressupostos_Assumpt!C89/30)</f>
        <v>244539.25199999998</v>
      </c>
      <c r="R20" s="21">
        <f>Receita_Revenue!R9*(1+Pressupostos_Assumpt!D82)*MIN(1,Pressupostos_Assumpt!C89/30)</f>
        <v>244539.25199999998</v>
      </c>
      <c r="S20" s="21">
        <f>L20</f>
        <v>248720.022</v>
      </c>
      <c r="T20" s="21">
        <f>R20</f>
        <v>244539.25199999998</v>
      </c>
    </row>
    <row r="21" spans="2:20" ht="21.75" customHeight="1" x14ac:dyDescent="0.2">
      <c r="B21" s="2" t="s">
        <v>365</v>
      </c>
      <c r="C21" s="21">
        <f>(Custos_Costs!C26-Salarios_Wages!C46)*(1+Pressupostos_Assumpt!C82)*MIN(1,Pressupostos_Assumpt!C90/7)</f>
        <v>2668.2613636363631</v>
      </c>
      <c r="D21" s="21">
        <f>(Custos_Costs!D26-Salarios_Wages!D46)*(1+Pressupostos_Assumpt!C82)*MIN(1,Pressupostos_Assumpt!C90/7)</f>
        <v>3877.295454545454</v>
      </c>
      <c r="E21" s="21">
        <f>(Custos_Costs!E26-Salarios_Wages!E46)*(1+Pressupostos_Assumpt!C82)*MIN(1,Pressupostos_Assumpt!C90/7)</f>
        <v>5090.5227272727261</v>
      </c>
      <c r="F21" s="21">
        <f>(Custos_Costs!F26-Salarios_Wages!F46)*(1+Pressupostos_Assumpt!C82)*MIN(1,Pressupostos_Assumpt!C90/7)</f>
        <v>6602.863636363636</v>
      </c>
      <c r="G21" s="21">
        <f>(Custos_Costs!G26-Salarios_Wages!G46)*(1+Pressupostos_Assumpt!C82)*MIN(1,Pressupostos_Assumpt!C90/7)</f>
        <v>7816.0909090909108</v>
      </c>
      <c r="H21" s="21">
        <f>(Custos_Costs!H26-Salarios_Wages!H46)*(1+Pressupostos_Assumpt!C82)*MIN(1,Pressupostos_Assumpt!C90/7)</f>
        <v>9025.1249999999982</v>
      </c>
      <c r="I21" s="21">
        <f>(Custos_Costs!I26-Salarios_Wages!I46)*(1+Pressupostos_Assumpt!C82)*MIN(1,Pressupostos_Assumpt!C90/7)</f>
        <v>9631.7386363636397</v>
      </c>
      <c r="J21" s="21">
        <f>(Custos_Costs!J26-Salarios_Wages!J46)*(1+Pressupostos_Assumpt!C82)*MIN(1,Pressupostos_Assumpt!C90/7)</f>
        <v>9631.7386363636397</v>
      </c>
      <c r="K21" s="21">
        <f>(Custos_Costs!K26-Salarios_Wages!K46)*(1+Pressupostos_Assumpt!C82)*MIN(1,Pressupostos_Assumpt!C90/30)</f>
        <v>92532.89999999998</v>
      </c>
      <c r="L21" s="21">
        <f>(Custos_Costs!L26-Salarios_Wages!L46)*(1+Pressupostos_Assumpt!C82)*MIN(1,Pressupostos_Assumpt!C90/30)</f>
        <v>92532.89999999998</v>
      </c>
      <c r="M21" s="21">
        <f>(Custos_Costs!M26-Salarios_Wages!M46)*(1+Pressupostos_Assumpt!D82)*MIN(1,Pressupostos_Assumpt!C90/91)</f>
        <v>42300.781318681307</v>
      </c>
      <c r="N21" s="21">
        <f>(Custos_Costs!N26-Salarios_Wages!N46)*(1+Pressupostos_Assumpt!D82)*MIN(1,Pressupostos_Assumpt!C90/91)</f>
        <v>42300.781318681307</v>
      </c>
      <c r="O21" s="21">
        <f>(Custos_Costs!O26-Salarios_Wages!O46)*(1+Pressupostos_Assumpt!D82)*MIN(1,Pressupostos_Assumpt!C90/91)</f>
        <v>42300.781318681307</v>
      </c>
      <c r="P21" s="21">
        <f>(Custos_Costs!P26-Salarios_Wages!P46)*(1+Pressupostos_Assumpt!D82)*MIN(1,Pressupostos_Assumpt!C90/30)</f>
        <v>42770.79</v>
      </c>
      <c r="Q21" s="21">
        <f>(Custos_Costs!Q26-Salarios_Wages!Q46)*(1+Pressupostos_Assumpt!D82)*MIN(1,Pressupostos_Assumpt!C90/30)</f>
        <v>94953.54</v>
      </c>
      <c r="R21" s="21">
        <f>(Custos_Costs!R26-Salarios_Wages!R46)*(1+Pressupostos_Assumpt!D82)*MIN(1,Pressupostos_Assumpt!C90/30)</f>
        <v>94953.54</v>
      </c>
      <c r="S21" s="21">
        <f>L21</f>
        <v>92532.89999999998</v>
      </c>
      <c r="T21" s="21">
        <f>R21</f>
        <v>94953.54</v>
      </c>
    </row>
    <row r="22" spans="2:20" ht="15" customHeight="1" x14ac:dyDescent="0.2">
      <c r="B22" s="2" t="s">
        <v>366</v>
      </c>
      <c r="C22" s="21">
        <f>-C20</f>
        <v>-5767.9452272727276</v>
      </c>
      <c r="D22" s="21">
        <f t="shared" ref="D22:R22" si="9">-(D20-C20)</f>
        <v>-3376.9034999999994</v>
      </c>
      <c r="E22" s="21">
        <f t="shared" si="9"/>
        <v>-4502.5379999999986</v>
      </c>
      <c r="F22" s="21">
        <f t="shared" si="9"/>
        <v>-4502.5380000000005</v>
      </c>
      <c r="G22" s="21">
        <f t="shared" si="9"/>
        <v>-4502.5380000000005</v>
      </c>
      <c r="H22" s="21">
        <f t="shared" si="9"/>
        <v>-3376.9035000000003</v>
      </c>
      <c r="I22" s="21">
        <f t="shared" si="9"/>
        <v>-2251.2690000000002</v>
      </c>
      <c r="J22" s="21">
        <f t="shared" si="9"/>
        <v>0</v>
      </c>
      <c r="K22" s="21">
        <f t="shared" si="9"/>
        <v>-220439.38677272727</v>
      </c>
      <c r="L22" s="21">
        <f t="shared" si="9"/>
        <v>0</v>
      </c>
      <c r="M22" s="21">
        <f t="shared" si="9"/>
        <v>67565.311120879109</v>
      </c>
      <c r="N22" s="21">
        <f t="shared" si="9"/>
        <v>-517.85703296703286</v>
      </c>
      <c r="O22" s="21">
        <f t="shared" si="9"/>
        <v>0</v>
      </c>
      <c r="P22" s="21">
        <f t="shared" si="9"/>
        <v>59211.79991208791</v>
      </c>
      <c r="Q22" s="21">
        <f t="shared" si="9"/>
        <v>-122078.48399999997</v>
      </c>
      <c r="R22" s="21">
        <f t="shared" si="9"/>
        <v>0</v>
      </c>
      <c r="S22" s="21">
        <f>L22</f>
        <v>0</v>
      </c>
      <c r="T22" s="21">
        <f>R22</f>
        <v>0</v>
      </c>
    </row>
    <row r="23" spans="2:20" ht="15" customHeight="1" x14ac:dyDescent="0.2">
      <c r="B23" s="2" t="s">
        <v>367</v>
      </c>
      <c r="C23" s="21">
        <f>C21</f>
        <v>2668.2613636363631</v>
      </c>
      <c r="D23" s="21">
        <f t="shared" ref="D23:R23" si="10">D21-C21</f>
        <v>1209.034090909091</v>
      </c>
      <c r="E23" s="21">
        <f t="shared" si="10"/>
        <v>1213.2272727272721</v>
      </c>
      <c r="F23" s="21">
        <f t="shared" si="10"/>
        <v>1512.3409090909099</v>
      </c>
      <c r="G23" s="21">
        <f t="shared" si="10"/>
        <v>1213.2272727272748</v>
      </c>
      <c r="H23" s="21">
        <f t="shared" si="10"/>
        <v>1209.0340909090874</v>
      </c>
      <c r="I23" s="21">
        <f t="shared" si="10"/>
        <v>606.61363636364149</v>
      </c>
      <c r="J23" s="21">
        <f t="shared" si="10"/>
        <v>0</v>
      </c>
      <c r="K23" s="21">
        <f t="shared" si="10"/>
        <v>82901.161363636347</v>
      </c>
      <c r="L23" s="21">
        <f t="shared" si="10"/>
        <v>0</v>
      </c>
      <c r="M23" s="21">
        <f t="shared" si="10"/>
        <v>-50232.118681318672</v>
      </c>
      <c r="N23" s="21">
        <f t="shared" si="10"/>
        <v>0</v>
      </c>
      <c r="O23" s="21">
        <f t="shared" si="10"/>
        <v>0</v>
      </c>
      <c r="P23" s="21">
        <f t="shared" si="10"/>
        <v>470.00868131869356</v>
      </c>
      <c r="Q23" s="21">
        <f t="shared" si="10"/>
        <v>52182.749999999993</v>
      </c>
      <c r="R23" s="21">
        <f t="shared" si="10"/>
        <v>0</v>
      </c>
      <c r="S23" s="21">
        <f>L23</f>
        <v>0</v>
      </c>
      <c r="T23" s="21">
        <f>R23</f>
        <v>0</v>
      </c>
    </row>
    <row r="25" spans="2:20" ht="15" customHeight="1" x14ac:dyDescent="0.2">
      <c r="B25" s="44" t="s">
        <v>238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</row>
    <row r="26" spans="2:20" ht="15" customHeight="1" x14ac:dyDescent="0.2">
      <c r="C26" s="47" t="s">
        <v>239</v>
      </c>
      <c r="D26" s="47"/>
      <c r="E26" s="47"/>
      <c r="F26" s="47"/>
      <c r="G26" s="47" t="s">
        <v>240</v>
      </c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</row>
    <row r="27" spans="2:20" ht="24" customHeight="1" x14ac:dyDescent="0.2">
      <c r="B27" s="15" t="s">
        <v>241</v>
      </c>
      <c r="C27" s="12" t="s">
        <v>242</v>
      </c>
      <c r="D27" s="12" t="s">
        <v>243</v>
      </c>
      <c r="E27" s="12" t="s">
        <v>244</v>
      </c>
      <c r="F27" s="12" t="s">
        <v>245</v>
      </c>
      <c r="G27" s="12" t="s">
        <v>246</v>
      </c>
      <c r="H27" s="12" t="s">
        <v>247</v>
      </c>
      <c r="I27" s="12" t="s">
        <v>248</v>
      </c>
      <c r="J27" s="12" t="s">
        <v>249</v>
      </c>
      <c r="K27" s="12" t="s">
        <v>250</v>
      </c>
      <c r="L27" s="12" t="s">
        <v>251</v>
      </c>
      <c r="M27" s="12" t="s">
        <v>252</v>
      </c>
      <c r="N27" s="12" t="s">
        <v>253</v>
      </c>
      <c r="O27" s="12" t="s">
        <v>254</v>
      </c>
      <c r="P27" s="12" t="s">
        <v>255</v>
      </c>
      <c r="Q27" s="12" t="s">
        <v>256</v>
      </c>
      <c r="R27" s="12" t="s">
        <v>257</v>
      </c>
    </row>
    <row r="28" spans="2:20" ht="15" customHeight="1" x14ac:dyDescent="0.2">
      <c r="B28" s="2" t="s">
        <v>368</v>
      </c>
      <c r="C28" s="21">
        <f>C4+D4+E4+F4</f>
        <v>-422.40614772727145</v>
      </c>
      <c r="D28" s="21">
        <f>G4+H4+I4+J4</f>
        <v>8173.5877727272709</v>
      </c>
      <c r="E28" s="21">
        <f>K4</f>
        <v>20865.795999999995</v>
      </c>
      <c r="F28" s="21">
        <f>L4</f>
        <v>20865.795999999995</v>
      </c>
      <c r="G28" s="21">
        <f>(M4)/3</f>
        <v>8331.4683750000131</v>
      </c>
      <c r="H28" s="21">
        <f>(M4)/3</f>
        <v>8331.4683750000131</v>
      </c>
      <c r="I28" s="21">
        <f>(M4)/3</f>
        <v>8331.4683750000131</v>
      </c>
      <c r="J28" s="21">
        <f>(N4)/3</f>
        <v>8555.6703750000033</v>
      </c>
      <c r="K28" s="21">
        <f>(N4)/3</f>
        <v>8555.6703750000033</v>
      </c>
      <c r="L28" s="21">
        <f>(N4)/3</f>
        <v>8555.6703750000033</v>
      </c>
      <c r="M28" s="21">
        <f>(O4)/3</f>
        <v>8555.6703750000033</v>
      </c>
      <c r="N28" s="21">
        <f>(O4)/3</f>
        <v>8555.6703750000033</v>
      </c>
      <c r="O28" s="21">
        <f>(O4)/3</f>
        <v>8555.6703750000033</v>
      </c>
      <c r="P28" s="21">
        <f t="shared" ref="P28:R29" si="11">P4</f>
        <v>8555.6703749999961</v>
      </c>
      <c r="Q28" s="21">
        <f t="shared" si="11"/>
        <v>16517.132374999986</v>
      </c>
      <c r="R28" s="21">
        <f t="shared" si="11"/>
        <v>16517.132374999986</v>
      </c>
    </row>
    <row r="29" spans="2:20" ht="15" customHeight="1" x14ac:dyDescent="0.2">
      <c r="B29" s="2" t="s">
        <v>369</v>
      </c>
      <c r="C29" s="21">
        <f>C5+D5+E5+F5</f>
        <v>0</v>
      </c>
      <c r="D29" s="21">
        <f>G5+H5+I5+J5</f>
        <v>0</v>
      </c>
      <c r="E29" s="21">
        <f>K5</f>
        <v>0</v>
      </c>
      <c r="F29" s="21">
        <f>L5</f>
        <v>0</v>
      </c>
      <c r="G29" s="21">
        <f>(M5)/3</f>
        <v>0</v>
      </c>
      <c r="H29" s="21">
        <f>(M5)/3</f>
        <v>0</v>
      </c>
      <c r="I29" s="21">
        <f>(M5)/3</f>
        <v>0</v>
      </c>
      <c r="J29" s="21">
        <f>(N5)/3</f>
        <v>0</v>
      </c>
      <c r="K29" s="21">
        <f>(N5)/3</f>
        <v>0</v>
      </c>
      <c r="L29" s="21">
        <f>(N5)/3</f>
        <v>0</v>
      </c>
      <c r="M29" s="21">
        <f>(O5)/3</f>
        <v>0</v>
      </c>
      <c r="N29" s="21">
        <f>(O5)/3</f>
        <v>0</v>
      </c>
      <c r="O29" s="21">
        <f>(O5)/3</f>
        <v>0</v>
      </c>
      <c r="P29" s="21">
        <f t="shared" si="11"/>
        <v>0</v>
      </c>
      <c r="Q29" s="21">
        <f t="shared" si="11"/>
        <v>0</v>
      </c>
      <c r="R29" s="21">
        <f t="shared" si="11"/>
        <v>0</v>
      </c>
    </row>
    <row r="30" spans="2:20" ht="15" customHeight="1" x14ac:dyDescent="0.2">
      <c r="B30" s="3" t="s">
        <v>352</v>
      </c>
      <c r="C30" s="22">
        <f>C7+D7+E7+F7</f>
        <v>-9786.1329090909076</v>
      </c>
      <c r="D30" s="22">
        <f>G7+H7+I7+J7</f>
        <v>2401.7136818181825</v>
      </c>
      <c r="E30" s="22">
        <f>K7</f>
        <v>-102347.72439772729</v>
      </c>
      <c r="F30" s="22">
        <f>L7</f>
        <v>20865.795999999995</v>
      </c>
      <c r="G30" s="22">
        <f>(M7)/3</f>
        <v>23127.211688186828</v>
      </c>
      <c r="H30" s="22">
        <f>(M7)/3</f>
        <v>23127.211688186828</v>
      </c>
      <c r="I30" s="22">
        <f>(M7)/3</f>
        <v>23127.211688186828</v>
      </c>
      <c r="J30" s="22">
        <f>(N7)/3</f>
        <v>8448.325364010987</v>
      </c>
      <c r="K30" s="22">
        <f>(N7)/3</f>
        <v>8448.325364010987</v>
      </c>
      <c r="L30" s="22">
        <f>(N7)/3</f>
        <v>8448.325364010987</v>
      </c>
      <c r="M30" s="22">
        <f>(O7)/3</f>
        <v>8555.6703750000033</v>
      </c>
      <c r="N30" s="22">
        <f>(O7)/3</f>
        <v>8555.6703750000033</v>
      </c>
      <c r="O30" s="22">
        <f>(O7)/3</f>
        <v>8555.6703750000033</v>
      </c>
      <c r="P30" s="22">
        <f>P7</f>
        <v>38178.9054684066</v>
      </c>
      <c r="Q30" s="22">
        <f>Q7</f>
        <v>-51813.382624999984</v>
      </c>
      <c r="R30" s="22">
        <f>R7</f>
        <v>16517.132374999986</v>
      </c>
    </row>
    <row r="31" spans="2:20" ht="15" customHeight="1" x14ac:dyDescent="0.2">
      <c r="B31" s="3" t="s">
        <v>355</v>
      </c>
      <c r="C31" s="22">
        <f>C10+D10+E10+F10</f>
        <v>-9786.1329090909076</v>
      </c>
      <c r="D31" s="22">
        <f>G10+H10+I10+J10</f>
        <v>2401.7136818181825</v>
      </c>
      <c r="E31" s="22">
        <f>K10</f>
        <v>-102347.72439772729</v>
      </c>
      <c r="F31" s="22">
        <f>L10</f>
        <v>20865.795999999995</v>
      </c>
      <c r="G31" s="22">
        <f>(M10)/3</f>
        <v>23127.211688186828</v>
      </c>
      <c r="H31" s="22">
        <f>(M10)/3</f>
        <v>23127.211688186828</v>
      </c>
      <c r="I31" s="22">
        <f>(M10)/3</f>
        <v>23127.211688186828</v>
      </c>
      <c r="J31" s="22">
        <f>(N10)/3</f>
        <v>8448.325364010987</v>
      </c>
      <c r="K31" s="22">
        <f>(N10)/3</f>
        <v>8448.325364010987</v>
      </c>
      <c r="L31" s="22">
        <f>(N10)/3</f>
        <v>8448.325364010987</v>
      </c>
      <c r="M31" s="22">
        <f>(O10)/3</f>
        <v>8555.6703750000033</v>
      </c>
      <c r="N31" s="22">
        <f>(O10)/3</f>
        <v>8555.6703750000033</v>
      </c>
      <c r="O31" s="22">
        <f>(O10)/3</f>
        <v>8555.6703750000033</v>
      </c>
      <c r="P31" s="22">
        <f>P10</f>
        <v>38178.9054684066</v>
      </c>
      <c r="Q31" s="22">
        <f>Q10</f>
        <v>-51813.382624999984</v>
      </c>
      <c r="R31" s="22">
        <f>R10</f>
        <v>16517.132374999986</v>
      </c>
    </row>
    <row r="32" spans="2:20" ht="15" customHeight="1" x14ac:dyDescent="0.2">
      <c r="B32" s="3" t="s">
        <v>361</v>
      </c>
      <c r="C32" s="22">
        <f>F16</f>
        <v>70213.867090909087</v>
      </c>
      <c r="D32" s="22">
        <f>J16</f>
        <v>72615.580772727262</v>
      </c>
      <c r="E32" s="22">
        <f>K16</f>
        <v>0</v>
      </c>
      <c r="F32" s="22">
        <f>L16</f>
        <v>0</v>
      </c>
      <c r="G32" s="22">
        <f>M16</f>
        <v>60135.781910410449</v>
      </c>
      <c r="H32" s="22">
        <f>M16</f>
        <v>60135.781910410449</v>
      </c>
      <c r="I32" s="22">
        <f>M16</f>
        <v>60135.781910410449</v>
      </c>
      <c r="J32" s="22">
        <f>N16</f>
        <v>85480.758002443414</v>
      </c>
      <c r="K32" s="22">
        <f>N16</f>
        <v>85480.758002443414</v>
      </c>
      <c r="L32" s="22">
        <f>N16</f>
        <v>85480.758002443414</v>
      </c>
      <c r="M32" s="22">
        <f>O16</f>
        <v>111147.76912744342</v>
      </c>
      <c r="N32" s="22">
        <f>O16</f>
        <v>111147.76912744342</v>
      </c>
      <c r="O32" s="22">
        <f>O16</f>
        <v>111147.76912744342</v>
      </c>
      <c r="P32" s="22">
        <f>P16</f>
        <v>149326.67459585003</v>
      </c>
      <c r="Q32" s="22">
        <f>Q16</f>
        <v>97513.291970850041</v>
      </c>
      <c r="R32" s="22">
        <f>R16</f>
        <v>114030.42434585003</v>
      </c>
    </row>
    <row r="35" spans="2:8" ht="15" customHeight="1" x14ac:dyDescent="0.2">
      <c r="B35" s="44" t="s">
        <v>264</v>
      </c>
      <c r="C35" s="44"/>
      <c r="D35" s="44"/>
      <c r="E35" s="44"/>
      <c r="F35" s="44"/>
      <c r="G35" s="44"/>
      <c r="H35" s="44"/>
    </row>
    <row r="36" spans="2:8" ht="15" customHeight="1" x14ac:dyDescent="0.2">
      <c r="C36" s="47" t="s">
        <v>265</v>
      </c>
      <c r="D36" s="47"/>
      <c r="E36" s="47" t="s">
        <v>240</v>
      </c>
      <c r="F36" s="47"/>
      <c r="G36" s="47"/>
      <c r="H36" s="47"/>
    </row>
    <row r="37" spans="2:8" ht="30" customHeight="1" x14ac:dyDescent="0.2">
      <c r="B37" s="15" t="s">
        <v>266</v>
      </c>
      <c r="C37" s="12" t="s">
        <v>267</v>
      </c>
      <c r="D37" s="12" t="s">
        <v>268</v>
      </c>
      <c r="E37" s="12" t="s">
        <v>269</v>
      </c>
      <c r="F37" s="12" t="s">
        <v>270</v>
      </c>
      <c r="G37" s="12" t="s">
        <v>271</v>
      </c>
      <c r="H37" s="12" t="s">
        <v>272</v>
      </c>
    </row>
    <row r="38" spans="2:8" ht="15" customHeight="1" x14ac:dyDescent="0.2">
      <c r="B38" s="2" t="s">
        <v>368</v>
      </c>
      <c r="C38" s="21">
        <f>SUM(C4:F4)</f>
        <v>-422.40614772727145</v>
      </c>
      <c r="D38" s="21">
        <f>SUM(G4:L4)</f>
        <v>49905.179772727264</v>
      </c>
      <c r="E38" s="21">
        <f t="shared" ref="E38:G39" si="12">SUM(M4:M4)</f>
        <v>24994.405125000038</v>
      </c>
      <c r="F38" s="21">
        <f t="shared" si="12"/>
        <v>25667.011125000008</v>
      </c>
      <c r="G38" s="21">
        <f t="shared" si="12"/>
        <v>25667.011125000008</v>
      </c>
      <c r="H38" s="21">
        <f>SUM(P4:R4)</f>
        <v>41589.935124999967</v>
      </c>
    </row>
    <row r="39" spans="2:8" ht="15" customHeight="1" x14ac:dyDescent="0.2">
      <c r="B39" s="2" t="s">
        <v>369</v>
      </c>
      <c r="C39" s="21">
        <f>SUM(C5:F5)</f>
        <v>0</v>
      </c>
      <c r="D39" s="21">
        <f>SUM(G5:L5)</f>
        <v>0</v>
      </c>
      <c r="E39" s="21">
        <f t="shared" si="12"/>
        <v>0</v>
      </c>
      <c r="F39" s="21">
        <f t="shared" si="12"/>
        <v>0</v>
      </c>
      <c r="G39" s="21">
        <f t="shared" si="12"/>
        <v>0</v>
      </c>
      <c r="H39" s="21">
        <f>SUM(P5:R5)</f>
        <v>0</v>
      </c>
    </row>
    <row r="40" spans="2:8" ht="15" customHeight="1" x14ac:dyDescent="0.2">
      <c r="B40" s="3" t="s">
        <v>352</v>
      </c>
      <c r="C40" s="22">
        <f>SUM(C7:F7)</f>
        <v>-9786.1329090909076</v>
      </c>
      <c r="D40" s="22">
        <f>SUM(G7:L7)</f>
        <v>-79080.214715909096</v>
      </c>
      <c r="E40" s="22">
        <f>SUM(M7:M7)</f>
        <v>69381.635064560483</v>
      </c>
      <c r="F40" s="22">
        <f>SUM(N7:N7)</f>
        <v>25344.976092032961</v>
      </c>
      <c r="G40" s="22">
        <f>SUM(O7:O7)</f>
        <v>25667.011125000008</v>
      </c>
      <c r="H40" s="22">
        <f>SUM(P7:R7)</f>
        <v>2882.6552184066022</v>
      </c>
    </row>
    <row r="41" spans="2:8" ht="15" customHeight="1" x14ac:dyDescent="0.2">
      <c r="B41" s="3" t="s">
        <v>355</v>
      </c>
      <c r="C41" s="22">
        <f>SUM(C10:F10)</f>
        <v>-9786.1329090909076</v>
      </c>
      <c r="D41" s="22">
        <f>SUM(G10:L10)</f>
        <v>-79080.214715909096</v>
      </c>
      <c r="E41" s="22">
        <f>SUM(M10:M10)</f>
        <v>69381.635064560483</v>
      </c>
      <c r="F41" s="22">
        <f>SUM(N10:N10)</f>
        <v>25344.976092032961</v>
      </c>
      <c r="G41" s="22">
        <f>SUM(O10:O10)</f>
        <v>25667.011125000008</v>
      </c>
      <c r="H41" s="22">
        <f>SUM(P10:R10)</f>
        <v>2882.6552184066022</v>
      </c>
    </row>
    <row r="42" spans="2:8" ht="15" customHeight="1" x14ac:dyDescent="0.2">
      <c r="B42" s="2" t="s">
        <v>356</v>
      </c>
      <c r="C42" s="21">
        <f>C11</f>
        <v>80000</v>
      </c>
      <c r="D42" s="21">
        <f>G11</f>
        <v>70213.867090909087</v>
      </c>
      <c r="E42" s="21">
        <f>M11</f>
        <v>0</v>
      </c>
      <c r="F42" s="21">
        <f>N11</f>
        <v>60135.781910410449</v>
      </c>
      <c r="G42" s="21">
        <f>O11</f>
        <v>85480.758002443414</v>
      </c>
      <c r="H42" s="21">
        <f>P11</f>
        <v>111147.76912744342</v>
      </c>
    </row>
    <row r="43" spans="2:8" ht="15" customHeight="1" x14ac:dyDescent="0.2">
      <c r="B43" s="3" t="s">
        <v>361</v>
      </c>
      <c r="C43" s="22">
        <f>F16</f>
        <v>70213.867090909087</v>
      </c>
      <c r="D43" s="22">
        <f>L16</f>
        <v>0</v>
      </c>
      <c r="E43" s="22">
        <f>M16</f>
        <v>60135.781910410449</v>
      </c>
      <c r="F43" s="22">
        <f>N16</f>
        <v>85480.758002443414</v>
      </c>
      <c r="G43" s="22">
        <f>O16</f>
        <v>111147.76912744342</v>
      </c>
      <c r="H43" s="22">
        <f>R16</f>
        <v>114030.42434585003</v>
      </c>
    </row>
  </sheetData>
  <mergeCells count="9">
    <mergeCell ref="B35:H35"/>
    <mergeCell ref="C36:D36"/>
    <mergeCell ref="E36:H36"/>
    <mergeCell ref="B1:T1"/>
    <mergeCell ref="C2:L2"/>
    <mergeCell ref="M2:R2"/>
    <mergeCell ref="B25:R25"/>
    <mergeCell ref="C26:F26"/>
    <mergeCell ref="G26:R2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A29"/>
  <sheetViews>
    <sheetView showGridLines="0" zoomScaleNormal="100" workbookViewId="0">
      <pane xSplit="2" ySplit="3" topLeftCell="S4" activePane="bottomRight" state="frozen"/>
      <selection pane="topRight" activeCell="C1" sqref="C1"/>
      <selection pane="bottomLeft" activeCell="A4" sqref="A4"/>
      <selection pane="bottomRight" activeCell="W9" sqref="W9:AA15"/>
    </sheetView>
  </sheetViews>
  <sheetFormatPr baseColWidth="10" defaultColWidth="8.6640625" defaultRowHeight="15" x14ac:dyDescent="0.2"/>
  <cols>
    <col min="1" max="1" width="2.5" customWidth="1"/>
    <col min="2" max="2" width="47.1640625" customWidth="1"/>
    <col min="3" max="18" width="10.5" customWidth="1"/>
    <col min="19" max="20" width="12" customWidth="1"/>
    <col min="27" max="27" width="23.83203125" customWidth="1"/>
  </cols>
  <sheetData>
    <row r="1" spans="2:27" ht="25.5" customHeight="1" x14ac:dyDescent="0.2">
      <c r="B1" s="45" t="s">
        <v>370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</row>
    <row r="2" spans="2:27" ht="15" customHeight="1" x14ac:dyDescent="0.2">
      <c r="C2" s="47" t="s">
        <v>222</v>
      </c>
      <c r="D2" s="47"/>
      <c r="E2" s="47"/>
      <c r="F2" s="47"/>
      <c r="G2" s="47"/>
      <c r="H2" s="47"/>
      <c r="I2" s="47"/>
      <c r="J2" s="47"/>
      <c r="K2" s="47"/>
      <c r="L2" s="47"/>
      <c r="M2" s="47" t="s">
        <v>223</v>
      </c>
      <c r="N2" s="47"/>
      <c r="O2" s="47"/>
      <c r="P2" s="47"/>
      <c r="Q2" s="47"/>
      <c r="R2" s="47"/>
    </row>
    <row r="3" spans="2:27" ht="33.75" customHeight="1" x14ac:dyDescent="0.2">
      <c r="B3" s="15" t="s">
        <v>224</v>
      </c>
      <c r="C3" s="12" t="s">
        <v>202</v>
      </c>
      <c r="D3" s="12" t="s">
        <v>203</v>
      </c>
      <c r="E3" s="12" t="s">
        <v>204</v>
      </c>
      <c r="F3" s="12" t="s">
        <v>205</v>
      </c>
      <c r="G3" s="12" t="s">
        <v>206</v>
      </c>
      <c r="H3" s="12" t="s">
        <v>207</v>
      </c>
      <c r="I3" s="12" t="s">
        <v>208</v>
      </c>
      <c r="J3" s="12" t="s">
        <v>209</v>
      </c>
      <c r="K3" s="12" t="s">
        <v>210</v>
      </c>
      <c r="L3" s="12" t="s">
        <v>211</v>
      </c>
      <c r="M3" s="12" t="s">
        <v>212</v>
      </c>
      <c r="N3" s="12" t="s">
        <v>213</v>
      </c>
      <c r="O3" s="12" t="s">
        <v>214</v>
      </c>
      <c r="P3" s="12" t="s">
        <v>215</v>
      </c>
      <c r="Q3" s="12" t="s">
        <v>216</v>
      </c>
      <c r="R3" s="12" t="s">
        <v>217</v>
      </c>
      <c r="S3" s="12" t="s">
        <v>225</v>
      </c>
      <c r="T3" s="12" t="s">
        <v>226</v>
      </c>
    </row>
    <row r="4" spans="2:27" ht="18" customHeight="1" x14ac:dyDescent="0.2">
      <c r="B4" s="48" t="s">
        <v>371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</row>
    <row r="5" spans="2:27" ht="21.75" customHeight="1" x14ac:dyDescent="0.2">
      <c r="B5" s="3" t="s">
        <v>372</v>
      </c>
      <c r="C5" s="22">
        <f>Receita_Revenue!C9*Pressupostos_Assumpt!C82</f>
        <v>1078.5588636363639</v>
      </c>
      <c r="D5" s="22">
        <f>Receita_Revenue!D9*Pressupostos_Assumpt!C82</f>
        <v>1710.0123636363637</v>
      </c>
      <c r="E5" s="22">
        <f>Receita_Revenue!E9*Pressupostos_Assumpt!C82</f>
        <v>2551.9503636363638</v>
      </c>
      <c r="F5" s="22">
        <f>Receita_Revenue!F9*Pressupostos_Assumpt!C82</f>
        <v>3393.8883636363639</v>
      </c>
      <c r="G5" s="22">
        <f>Receita_Revenue!G9*Pressupostos_Assumpt!C82</f>
        <v>4235.8263636363636</v>
      </c>
      <c r="H5" s="22">
        <f>Receita_Revenue!H9*Pressupostos_Assumpt!C82</f>
        <v>4867.2798636363641</v>
      </c>
      <c r="I5" s="22">
        <f>Receita_Revenue!I9*Pressupostos_Assumpt!C82</f>
        <v>5288.2488636363641</v>
      </c>
      <c r="J5" s="22">
        <f>Receita_Revenue!J9*Pressupostos_Assumpt!C82</f>
        <v>5288.2488636363641</v>
      </c>
      <c r="K5" s="22">
        <f>Receita_Revenue!K9*Pressupostos_Assumpt!C82</f>
        <v>46508.622000000003</v>
      </c>
      <c r="L5" s="22">
        <f>Receita_Revenue!L9*Pressupostos_Assumpt!C82</f>
        <v>46508.622000000003</v>
      </c>
      <c r="M5" s="22">
        <f>Receita_Revenue!M9*Pressupostos_Assumpt!D82</f>
        <v>68501.682000000015</v>
      </c>
      <c r="N5" s="22">
        <f>Receita_Revenue!N9*Pressupostos_Assumpt!D82</f>
        <v>68697.504000000001</v>
      </c>
      <c r="O5" s="22">
        <f>Receita_Revenue!O9*Pressupostos_Assumpt!D82</f>
        <v>68697.504000000001</v>
      </c>
      <c r="P5" s="22">
        <f>Receita_Revenue!P9*Pressupostos_Assumpt!D82</f>
        <v>22899.168000000001</v>
      </c>
      <c r="Q5" s="22">
        <f>Receita_Revenue!Q9*Pressupostos_Assumpt!D82</f>
        <v>45726.851999999999</v>
      </c>
      <c r="R5" s="22">
        <f>Receita_Revenue!R9*Pressupostos_Assumpt!D82</f>
        <v>45726.851999999999</v>
      </c>
      <c r="S5" s="22">
        <f>C5+D5+E5+F5+G5+H5+I5+J5+K5+L5</f>
        <v>121431.25790909091</v>
      </c>
      <c r="T5" s="22">
        <f>M5+N5+O5+P5+Q5+R5</f>
        <v>320249.56200000003</v>
      </c>
    </row>
    <row r="7" spans="2:27" ht="18" customHeight="1" x14ac:dyDescent="0.2">
      <c r="B7" s="48" t="s">
        <v>373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</row>
    <row r="8" spans="2:27" ht="15" customHeight="1" x14ac:dyDescent="0.2">
      <c r="B8" s="2" t="s">
        <v>374</v>
      </c>
      <c r="C8" s="21">
        <f>Custos_Costs!C8*Pressupostos_Assumpt!C82</f>
        <v>0.58806818181818177</v>
      </c>
      <c r="D8" s="21">
        <f>Custos_Costs!D8*Pressupostos_Assumpt!C82</f>
        <v>0.98011363636363624</v>
      </c>
      <c r="E8" s="21">
        <f>Custos_Costs!E8*Pressupostos_Assumpt!C82</f>
        <v>1.3721590909090911</v>
      </c>
      <c r="F8" s="21">
        <f>Custos_Costs!F8*Pressupostos_Assumpt!C82</f>
        <v>1.8622159090909089</v>
      </c>
      <c r="G8" s="21">
        <f>Custos_Costs!G8*Pressupostos_Assumpt!C82</f>
        <v>2.2542613636363638</v>
      </c>
      <c r="H8" s="21">
        <f>Custos_Costs!H8*Pressupostos_Assumpt!C82</f>
        <v>2.6463068181818183</v>
      </c>
      <c r="I8" s="21">
        <f>Custos_Costs!I8*Pressupostos_Assumpt!C82</f>
        <v>2.8423295454545454</v>
      </c>
      <c r="J8" s="21">
        <f>Custos_Costs!J8*Pressupostos_Assumpt!C82</f>
        <v>2.8423295454545454</v>
      </c>
      <c r="K8" s="21">
        <f>Custos_Costs!K8*Pressupostos_Assumpt!C82</f>
        <v>12.506250000000001</v>
      </c>
      <c r="L8" s="21">
        <f>Custos_Costs!L8*Pressupostos_Assumpt!C82</f>
        <v>12.506250000000001</v>
      </c>
      <c r="M8" s="21">
        <f>Custos_Costs!M8*Pressupostos_Assumpt!D82</f>
        <v>37.518750000000004</v>
      </c>
      <c r="N8" s="21">
        <f>Custos_Costs!N8*Pressupostos_Assumpt!D82</f>
        <v>37.518750000000004</v>
      </c>
      <c r="O8" s="21">
        <f>Custos_Costs!O8*Pressupostos_Assumpt!D82</f>
        <v>37.518750000000004</v>
      </c>
      <c r="P8" s="21">
        <f>Custos_Costs!P8*Pressupostos_Assumpt!D82</f>
        <v>12.506250000000001</v>
      </c>
      <c r="Q8" s="21">
        <f>Custos_Costs!Q8*Pressupostos_Assumpt!D82</f>
        <v>12.506250000000001</v>
      </c>
      <c r="R8" s="21">
        <f>Custos_Costs!R8*Pressupostos_Assumpt!D82</f>
        <v>12.506250000000001</v>
      </c>
      <c r="S8" s="21">
        <f t="shared" ref="S8:S18" si="0">C8+D8+E8+F8+G8+H8+I8+J8+K8+L8</f>
        <v>40.400284090909096</v>
      </c>
      <c r="T8" s="21">
        <f t="shared" ref="T8:T18" si="1">M8+N8+O8+P8+Q8+R8</f>
        <v>150.07499999999999</v>
      </c>
    </row>
    <row r="9" spans="2:27" ht="15" customHeight="1" x14ac:dyDescent="0.2">
      <c r="B9" s="2" t="s">
        <v>375</v>
      </c>
      <c r="C9" s="21">
        <f>Custos_Costs!C6*Pressupostos_Assumpt!C82</f>
        <v>0</v>
      </c>
      <c r="D9" s="21">
        <f>Custos_Costs!D6*Pressupostos_Assumpt!C82</f>
        <v>0</v>
      </c>
      <c r="E9" s="21">
        <f>Custos_Costs!E6*Pressupostos_Assumpt!C82</f>
        <v>0</v>
      </c>
      <c r="F9" s="21">
        <f>Custos_Costs!F6*Pressupostos_Assumpt!C82</f>
        <v>0</v>
      </c>
      <c r="G9" s="21">
        <f>Custos_Costs!G6*Pressupostos_Assumpt!C82</f>
        <v>0</v>
      </c>
      <c r="H9" s="21">
        <f>Custos_Costs!H6*Pressupostos_Assumpt!C82</f>
        <v>0</v>
      </c>
      <c r="I9" s="21">
        <f>Custos_Costs!I6*Pressupostos_Assumpt!C82</f>
        <v>0</v>
      </c>
      <c r="J9" s="21">
        <f>Custos_Costs!J6*Pressupostos_Assumpt!C82</f>
        <v>0</v>
      </c>
      <c r="K9" s="21">
        <f>Custos_Costs!K6*Pressupostos_Assumpt!C82</f>
        <v>10752.04</v>
      </c>
      <c r="L9" s="21">
        <f>Custos_Costs!L6*Pressupostos_Assumpt!C82</f>
        <v>10752.04</v>
      </c>
      <c r="M9" s="21">
        <f>Custos_Costs!M6*Pressupostos_Assumpt!D82</f>
        <v>0</v>
      </c>
      <c r="N9" s="21">
        <f>Custos_Costs!N6*Pressupostos_Assumpt!D82</f>
        <v>0</v>
      </c>
      <c r="O9" s="21">
        <f>Custos_Costs!O6*Pressupostos_Assumpt!D82</f>
        <v>0</v>
      </c>
      <c r="P9" s="21">
        <f>Custos_Costs!P6*Pressupostos_Assumpt!D82</f>
        <v>0</v>
      </c>
      <c r="Q9" s="21">
        <f>Custos_Costs!Q6*Pressupostos_Assumpt!D82</f>
        <v>10752.04</v>
      </c>
      <c r="R9" s="21">
        <f>Custos_Costs!R6*Pressupostos_Assumpt!D82</f>
        <v>10752.04</v>
      </c>
      <c r="S9" s="21">
        <f t="shared" si="0"/>
        <v>21504.080000000002</v>
      </c>
      <c r="T9" s="21">
        <f t="shared" si="1"/>
        <v>21504.080000000002</v>
      </c>
      <c r="W9" s="51" t="s">
        <v>497</v>
      </c>
      <c r="X9" s="52"/>
      <c r="Y9" s="52"/>
      <c r="Z9" s="52"/>
      <c r="AA9" s="52"/>
    </row>
    <row r="10" spans="2:27" ht="15" customHeight="1" x14ac:dyDescent="0.2">
      <c r="B10" s="2" t="s">
        <v>376</v>
      </c>
      <c r="C10" s="21">
        <f>Custos_Costs!C11*Pressupostos_Assumpt!C82*Pressupostos_Assumpt!C84</f>
        <v>250.90909090909088</v>
      </c>
      <c r="D10" s="21">
        <f>Custos_Costs!D11*Pressupostos_Assumpt!C82*Pressupostos_Assumpt!C84</f>
        <v>418.18181818181819</v>
      </c>
      <c r="E10" s="21">
        <f>Custos_Costs!E11*Pressupostos_Assumpt!C82*Pressupostos_Assumpt!C84</f>
        <v>585.4545454545455</v>
      </c>
      <c r="F10" s="21">
        <f>Custos_Costs!F11*Pressupostos_Assumpt!C82*Pressupostos_Assumpt!C84</f>
        <v>794.54545454545462</v>
      </c>
      <c r="G10" s="21">
        <f>Custos_Costs!G11*Pressupostos_Assumpt!C82*Pressupostos_Assumpt!C84</f>
        <v>961.81818181818187</v>
      </c>
      <c r="H10" s="21">
        <f>Custos_Costs!H11*Pressupostos_Assumpt!C82*Pressupostos_Assumpt!C84</f>
        <v>1129.090909090909</v>
      </c>
      <c r="I10" s="21">
        <f>Custos_Costs!I11*Pressupostos_Assumpt!C82*Pressupostos_Assumpt!C84</f>
        <v>1212.7272727272727</v>
      </c>
      <c r="J10" s="21">
        <f>Custos_Costs!J11*Pressupostos_Assumpt!C82*Pressupostos_Assumpt!C84</f>
        <v>1212.7272727272727</v>
      </c>
      <c r="K10" s="21">
        <f>Custos_Costs!K11*Pressupostos_Assumpt!C82*Pressupostos_Assumpt!C84</f>
        <v>5336</v>
      </c>
      <c r="L10" s="21">
        <f>Custos_Costs!L11*Pressupostos_Assumpt!C82*Pressupostos_Assumpt!C84</f>
        <v>5336</v>
      </c>
      <c r="M10" s="21">
        <f>Custos_Costs!M11*Pressupostos_Assumpt!D82*Pressupostos_Assumpt!D84</f>
        <v>16008</v>
      </c>
      <c r="N10" s="21">
        <f>Custos_Costs!N11*Pressupostos_Assumpt!D82*Pressupostos_Assumpt!D84</f>
        <v>16008</v>
      </c>
      <c r="O10" s="21">
        <f>Custos_Costs!O11*Pressupostos_Assumpt!D82*Pressupostos_Assumpt!D84</f>
        <v>16008</v>
      </c>
      <c r="P10" s="21">
        <f>Custos_Costs!P11*Pressupostos_Assumpt!D82*Pressupostos_Assumpt!D84</f>
        <v>5336</v>
      </c>
      <c r="Q10" s="21">
        <f>Custos_Costs!Q11*Pressupostos_Assumpt!D82*Pressupostos_Assumpt!D84</f>
        <v>5336</v>
      </c>
      <c r="R10" s="21">
        <f>Custos_Costs!R11*Pressupostos_Assumpt!D82*Pressupostos_Assumpt!D84</f>
        <v>5336</v>
      </c>
      <c r="S10" s="21">
        <f t="shared" si="0"/>
        <v>17237.454545454544</v>
      </c>
      <c r="T10" s="21">
        <f t="shared" si="1"/>
        <v>64032</v>
      </c>
      <c r="W10" s="52"/>
      <c r="X10" s="52"/>
      <c r="Y10" s="52"/>
      <c r="Z10" s="52"/>
      <c r="AA10" s="52"/>
    </row>
    <row r="11" spans="2:27" ht="15" customHeight="1" x14ac:dyDescent="0.2">
      <c r="B11" s="2" t="s">
        <v>377</v>
      </c>
      <c r="C11" s="21">
        <f>Custos_Costs!C14*Pressupostos_Assumpt!C82*Pressupostos_Assumpt!C84</f>
        <v>0</v>
      </c>
      <c r="D11" s="21">
        <f>Custos_Costs!D14*Pressupostos_Assumpt!C82*Pressupostos_Assumpt!C84</f>
        <v>0</v>
      </c>
      <c r="E11" s="21">
        <f>Custos_Costs!E14*Pressupostos_Assumpt!C82*Pressupostos_Assumpt!C84</f>
        <v>0</v>
      </c>
      <c r="F11" s="21">
        <f>Custos_Costs!F14*Pressupostos_Assumpt!C82*Pressupostos_Assumpt!C84</f>
        <v>0</v>
      </c>
      <c r="G11" s="21">
        <f>Custos_Costs!G14*Pressupostos_Assumpt!C82*Pressupostos_Assumpt!C84</f>
        <v>0</v>
      </c>
      <c r="H11" s="21">
        <f>Custos_Costs!H14*Pressupostos_Assumpt!C82*Pressupostos_Assumpt!C84</f>
        <v>0</v>
      </c>
      <c r="I11" s="21">
        <f>Custos_Costs!I14*Pressupostos_Assumpt!C82*Pressupostos_Assumpt!C84</f>
        <v>0</v>
      </c>
      <c r="J11" s="21">
        <f>Custos_Costs!J14*Pressupostos_Assumpt!C82*Pressupostos_Assumpt!C84</f>
        <v>0</v>
      </c>
      <c r="K11" s="21">
        <f>Custos_Costs!K14*Pressupostos_Assumpt!C82*Pressupostos_Assumpt!C84</f>
        <v>9338</v>
      </c>
      <c r="L11" s="21">
        <f>Custos_Costs!L14*Pressupostos_Assumpt!C82*Pressupostos_Assumpt!C84</f>
        <v>9338</v>
      </c>
      <c r="M11" s="21">
        <f>Custos_Costs!M14*Pressupostos_Assumpt!D82*Pressupostos_Assumpt!D84</f>
        <v>0</v>
      </c>
      <c r="N11" s="21">
        <f>Custos_Costs!N14*Pressupostos_Assumpt!D82*Pressupostos_Assumpt!D84</f>
        <v>0</v>
      </c>
      <c r="O11" s="21">
        <f>Custos_Costs!O14*Pressupostos_Assumpt!D82*Pressupostos_Assumpt!D84</f>
        <v>0</v>
      </c>
      <c r="P11" s="21">
        <f>Custos_Costs!P14*Pressupostos_Assumpt!D82*Pressupostos_Assumpt!D84</f>
        <v>0</v>
      </c>
      <c r="Q11" s="21">
        <f>Custos_Costs!Q14*Pressupostos_Assumpt!D82*Pressupostos_Assumpt!D84</f>
        <v>9671.5</v>
      </c>
      <c r="R11" s="21">
        <f>Custos_Costs!R14*Pressupostos_Assumpt!D82*Pressupostos_Assumpt!D84</f>
        <v>9671.5</v>
      </c>
      <c r="S11" s="21">
        <f t="shared" si="0"/>
        <v>18676</v>
      </c>
      <c r="T11" s="21">
        <f t="shared" si="1"/>
        <v>19343</v>
      </c>
      <c r="W11" s="52"/>
      <c r="X11" s="52"/>
      <c r="Y11" s="52"/>
      <c r="Z11" s="52"/>
      <c r="AA11" s="52"/>
    </row>
    <row r="12" spans="2:27" ht="15" customHeight="1" x14ac:dyDescent="0.2">
      <c r="B12" s="2" t="s">
        <v>322</v>
      </c>
      <c r="C12" s="21">
        <f>Custos_Costs!C13*Pressupostos_Assumpt!C82</f>
        <v>47.045454545454547</v>
      </c>
      <c r="D12" s="21">
        <f>Custos_Costs!D13*Pressupostos_Assumpt!C82</f>
        <v>78.409090909090907</v>
      </c>
      <c r="E12" s="21">
        <f>Custos_Costs!E13*Pressupostos_Assumpt!C82</f>
        <v>109.77272727272727</v>
      </c>
      <c r="F12" s="21">
        <f>Custos_Costs!F13*Pressupostos_Assumpt!C82</f>
        <v>148.97727272727275</v>
      </c>
      <c r="G12" s="21">
        <f>Custos_Costs!G13*Pressupostos_Assumpt!C82</f>
        <v>180.34090909090909</v>
      </c>
      <c r="H12" s="21">
        <f>Custos_Costs!H13*Pressupostos_Assumpt!C82</f>
        <v>211.70454545454544</v>
      </c>
      <c r="I12" s="21">
        <f>Custos_Costs!I13*Pressupostos_Assumpt!C82</f>
        <v>227.38636363636365</v>
      </c>
      <c r="J12" s="21">
        <f>Custos_Costs!J13*Pressupostos_Assumpt!C82</f>
        <v>227.38636363636365</v>
      </c>
      <c r="K12" s="21">
        <f>Custos_Costs!K13*Pressupostos_Assumpt!C82</f>
        <v>1000.5</v>
      </c>
      <c r="L12" s="21">
        <f>Custos_Costs!L13*Pressupostos_Assumpt!C82</f>
        <v>1000.5</v>
      </c>
      <c r="M12" s="21">
        <f>Custos_Costs!M13*Pressupostos_Assumpt!D82</f>
        <v>3201.6000000000004</v>
      </c>
      <c r="N12" s="21">
        <f>Custos_Costs!N13*Pressupostos_Assumpt!D82</f>
        <v>3201.6000000000004</v>
      </c>
      <c r="O12" s="21">
        <f>Custos_Costs!O13*Pressupostos_Assumpt!D82</f>
        <v>3201.6000000000004</v>
      </c>
      <c r="P12" s="21">
        <f>Custos_Costs!P13*Pressupostos_Assumpt!D82</f>
        <v>1067.2</v>
      </c>
      <c r="Q12" s="21">
        <f>Custos_Costs!Q13*Pressupostos_Assumpt!D82</f>
        <v>1067.2</v>
      </c>
      <c r="R12" s="21">
        <f>Custos_Costs!R13*Pressupostos_Assumpt!D82</f>
        <v>1067.2</v>
      </c>
      <c r="S12" s="21">
        <f t="shared" si="0"/>
        <v>3232.022727272727</v>
      </c>
      <c r="T12" s="21">
        <f t="shared" si="1"/>
        <v>12806.400000000003</v>
      </c>
      <c r="W12" s="52"/>
      <c r="X12" s="52"/>
      <c r="Y12" s="52"/>
      <c r="Z12" s="52"/>
      <c r="AA12" s="52"/>
    </row>
    <row r="13" spans="2:27" ht="15" customHeight="1" x14ac:dyDescent="0.2">
      <c r="B13" s="2" t="s">
        <v>378</v>
      </c>
      <c r="C13" s="21">
        <f>(Custos_Costs!C15+Custos_Costs!C20)*Pressupostos_Assumpt!C82</f>
        <v>9.1477272727272716</v>
      </c>
      <c r="D13" s="21">
        <f>(Custos_Costs!D15+Custos_Costs!D20)*Pressupostos_Assumpt!C82</f>
        <v>11.5</v>
      </c>
      <c r="E13" s="21">
        <f>(Custos_Costs!E15+Custos_Costs!E20)*Pressupostos_Assumpt!C82</f>
        <v>14.636363636363637</v>
      </c>
      <c r="F13" s="21">
        <f>(Custos_Costs!F15+Custos_Costs!F20)*Pressupostos_Assumpt!C82</f>
        <v>17.772727272727277</v>
      </c>
      <c r="G13" s="21">
        <f>(Custos_Costs!G15+Custos_Costs!G20)*Pressupostos_Assumpt!C82</f>
        <v>20.90909090909091</v>
      </c>
      <c r="H13" s="21">
        <f>(Custos_Costs!H15+Custos_Costs!H20)*Pressupostos_Assumpt!C82</f>
        <v>23.261363636363637</v>
      </c>
      <c r="I13" s="21">
        <f>(Custos_Costs!I15+Custos_Costs!I20)*Pressupostos_Assumpt!C82</f>
        <v>24.829545454545453</v>
      </c>
      <c r="J13" s="21">
        <f>(Custos_Costs!J15+Custos_Costs!J20)*Pressupostos_Assumpt!C82</f>
        <v>24.829545454545453</v>
      </c>
      <c r="K13" s="21">
        <f>(Custos_Costs!K15+Custos_Costs!K20)*Pressupostos_Assumpt!C82</f>
        <v>195.5</v>
      </c>
      <c r="L13" s="21">
        <f>(Custos_Costs!L15+Custos_Costs!L20)*Pressupostos_Assumpt!C82</f>
        <v>195.5</v>
      </c>
      <c r="M13" s="21">
        <f>(Custos_Costs!M15+Custos_Costs!M20)*Pressupostos_Assumpt!D82</f>
        <v>327.75</v>
      </c>
      <c r="N13" s="21">
        <f>(Custos_Costs!N15+Custos_Costs!N20)*Pressupostos_Assumpt!D82</f>
        <v>327.75</v>
      </c>
      <c r="O13" s="21">
        <f>(Custos_Costs!O15+Custos_Costs!O20)*Pressupostos_Assumpt!D82</f>
        <v>327.75</v>
      </c>
      <c r="P13" s="21">
        <f>(Custos_Costs!P15+Custos_Costs!P20)*Pressupostos_Assumpt!D82</f>
        <v>109.25</v>
      </c>
      <c r="Q13" s="21">
        <f>(Custos_Costs!Q15+Custos_Costs!Q20)*Pressupostos_Assumpt!D82</f>
        <v>195.5</v>
      </c>
      <c r="R13" s="21">
        <f>(Custos_Costs!R15+Custos_Costs!R20)*Pressupostos_Assumpt!D82</f>
        <v>195.5</v>
      </c>
      <c r="S13" s="21">
        <f t="shared" si="0"/>
        <v>537.88636363636363</v>
      </c>
      <c r="T13" s="21">
        <f t="shared" si="1"/>
        <v>1483.5</v>
      </c>
      <c r="W13" s="52"/>
      <c r="X13" s="52"/>
      <c r="Y13" s="52"/>
      <c r="Z13" s="52"/>
      <c r="AA13" s="52"/>
    </row>
    <row r="14" spans="2:27" ht="15" customHeight="1" x14ac:dyDescent="0.2">
      <c r="B14" s="2" t="s">
        <v>379</v>
      </c>
      <c r="C14" s="21">
        <f>Receita_Revenue!C6*Pressupostos_Assumpt!C82*Pressupostos_Assumpt!C83</f>
        <v>33.206250000000004</v>
      </c>
      <c r="D14" s="21">
        <f>Receita_Revenue!D6*Pressupostos_Assumpt!C82*Pressupostos_Assumpt!C83</f>
        <v>53.13</v>
      </c>
      <c r="E14" s="21">
        <f>Receita_Revenue!E6*Pressupostos_Assumpt!C82*Pressupostos_Assumpt!C83</f>
        <v>79.695000000000007</v>
      </c>
      <c r="F14" s="21">
        <f>Receita_Revenue!F6*Pressupostos_Assumpt!C82*Pressupostos_Assumpt!C83</f>
        <v>106.26</v>
      </c>
      <c r="G14" s="21">
        <f>Receita_Revenue!G6*Pressupostos_Assumpt!C82*Pressupostos_Assumpt!C83</f>
        <v>132.82500000000002</v>
      </c>
      <c r="H14" s="21">
        <f>Receita_Revenue!H6*Pressupostos_Assumpt!C82*Pressupostos_Assumpt!C83</f>
        <v>152.74875</v>
      </c>
      <c r="I14" s="21">
        <f>Receita_Revenue!I6*Pressupostos_Assumpt!C82*Pressupostos_Assumpt!C83</f>
        <v>166.03125</v>
      </c>
      <c r="J14" s="21">
        <f>Receita_Revenue!J6*Pressupostos_Assumpt!C82*Pressupostos_Assumpt!C83</f>
        <v>166.03125</v>
      </c>
      <c r="K14" s="21">
        <f>Receita_Revenue!K6*Pressupostos_Assumpt!C82*Pressupostos_Assumpt!C83</f>
        <v>1461.075</v>
      </c>
      <c r="L14" s="21">
        <f>Receita_Revenue!L6*Pressupostos_Assumpt!C82*Pressupostos_Assumpt!C83</f>
        <v>1461.075</v>
      </c>
      <c r="M14" s="21">
        <f>Receita_Revenue!M6*Pressupostos_Assumpt!D82*Pressupostos_Assumpt!D83</f>
        <v>2258.0250000000005</v>
      </c>
      <c r="N14" s="21">
        <f>Receita_Revenue!N6*Pressupostos_Assumpt!D82*Pressupostos_Assumpt!D83</f>
        <v>2258.0250000000005</v>
      </c>
      <c r="O14" s="21">
        <f>Receita_Revenue!O6*Pressupostos_Assumpt!D82*Pressupostos_Assumpt!D83</f>
        <v>2258.0250000000005</v>
      </c>
      <c r="P14" s="21">
        <f>Receita_Revenue!P6*Pressupostos_Assumpt!D82*Pressupostos_Assumpt!D83</f>
        <v>752.67500000000018</v>
      </c>
      <c r="Q14" s="21">
        <f>Receita_Revenue!Q6*Pressupostos_Assumpt!D82*Pressupostos_Assumpt!D83</f>
        <v>1505.3500000000004</v>
      </c>
      <c r="R14" s="21">
        <f>Receita_Revenue!R6*Pressupostos_Assumpt!D82*Pressupostos_Assumpt!D83</f>
        <v>1505.3500000000004</v>
      </c>
      <c r="S14" s="21">
        <f t="shared" si="0"/>
        <v>3812.0775000000003</v>
      </c>
      <c r="T14" s="21">
        <f t="shared" si="1"/>
        <v>10537.450000000003</v>
      </c>
      <c r="W14" s="52"/>
      <c r="X14" s="52"/>
      <c r="Y14" s="52"/>
      <c r="Z14" s="52"/>
      <c r="AA14" s="52"/>
    </row>
    <row r="15" spans="2:27" ht="15" customHeight="1" x14ac:dyDescent="0.2">
      <c r="B15" s="2" t="s">
        <v>164</v>
      </c>
      <c r="C15" s="21">
        <f>Custos_Costs!C18*Pressupostos_Assumpt!C82</f>
        <v>10.454545454545455</v>
      </c>
      <c r="D15" s="21">
        <f>Custos_Costs!D18*Pressupostos_Assumpt!C82</f>
        <v>10.454545454545455</v>
      </c>
      <c r="E15" s="21">
        <f>Custos_Costs!E18*Pressupostos_Assumpt!C82</f>
        <v>10.454545454545455</v>
      </c>
      <c r="F15" s="21">
        <f>Custos_Costs!F18*Pressupostos_Assumpt!C82</f>
        <v>10.454545454545455</v>
      </c>
      <c r="G15" s="21">
        <f>Custos_Costs!G18*Pressupostos_Assumpt!C82</f>
        <v>10.454545454545455</v>
      </c>
      <c r="H15" s="21">
        <f>Custos_Costs!H18*Pressupostos_Assumpt!C82</f>
        <v>10.454545454545455</v>
      </c>
      <c r="I15" s="21">
        <f>Custos_Costs!I18*Pressupostos_Assumpt!C82</f>
        <v>10.454545454545455</v>
      </c>
      <c r="J15" s="21">
        <f>Custos_Costs!J18*Pressupostos_Assumpt!C82</f>
        <v>10.454545454545455</v>
      </c>
      <c r="K15" s="21">
        <f>Custos_Costs!K18*Pressupostos_Assumpt!C82</f>
        <v>46</v>
      </c>
      <c r="L15" s="21">
        <f>Custos_Costs!L18*Pressupostos_Assumpt!C82</f>
        <v>46</v>
      </c>
      <c r="M15" s="21">
        <f>Custos_Costs!M18*Pressupostos_Assumpt!D82</f>
        <v>142.14000000000001</v>
      </c>
      <c r="N15" s="21">
        <f>Custos_Costs!N18*Pressupostos_Assumpt!D82</f>
        <v>142.14000000000001</v>
      </c>
      <c r="O15" s="21">
        <f>Custos_Costs!O18*Pressupostos_Assumpt!D82</f>
        <v>142.14000000000001</v>
      </c>
      <c r="P15" s="21">
        <f>Custos_Costs!P18*Pressupostos_Assumpt!D82</f>
        <v>47.38</v>
      </c>
      <c r="Q15" s="21">
        <f>Custos_Costs!Q18*Pressupostos_Assumpt!D82</f>
        <v>47.38</v>
      </c>
      <c r="R15" s="21">
        <f>Custos_Costs!R18*Pressupostos_Assumpt!D82</f>
        <v>47.38</v>
      </c>
      <c r="S15" s="21">
        <f t="shared" si="0"/>
        <v>175.63636363636363</v>
      </c>
      <c r="T15" s="21">
        <f t="shared" si="1"/>
        <v>568.56000000000006</v>
      </c>
      <c r="W15" s="52"/>
      <c r="X15" s="52"/>
      <c r="Y15" s="52"/>
      <c r="Z15" s="52"/>
      <c r="AA15" s="52"/>
    </row>
    <row r="16" spans="2:27" ht="15" customHeight="1" x14ac:dyDescent="0.2">
      <c r="B16" s="2" t="s">
        <v>327</v>
      </c>
      <c r="C16" s="21">
        <f>Custos_Costs!C21*Pressupostos_Assumpt!C82</f>
        <v>15.68181818181818</v>
      </c>
      <c r="D16" s="21">
        <f>Custos_Costs!D21*Pressupostos_Assumpt!C82</f>
        <v>15.68181818181818</v>
      </c>
      <c r="E16" s="21">
        <f>Custos_Costs!E21*Pressupostos_Assumpt!C82</f>
        <v>15.68181818181818</v>
      </c>
      <c r="F16" s="21">
        <f>Custos_Costs!F21*Pressupostos_Assumpt!C82</f>
        <v>15.68181818181818</v>
      </c>
      <c r="G16" s="21">
        <f>Custos_Costs!G21*Pressupostos_Assumpt!C82</f>
        <v>15.68181818181818</v>
      </c>
      <c r="H16" s="21">
        <f>Custos_Costs!H21*Pressupostos_Assumpt!C82</f>
        <v>15.68181818181818</v>
      </c>
      <c r="I16" s="21">
        <f>Custos_Costs!I21*Pressupostos_Assumpt!C82</f>
        <v>15.68181818181818</v>
      </c>
      <c r="J16" s="21">
        <f>Custos_Costs!J21*Pressupostos_Assumpt!C82</f>
        <v>15.68181818181818</v>
      </c>
      <c r="K16" s="21">
        <f>Custos_Costs!K21*Pressupostos_Assumpt!C82</f>
        <v>69</v>
      </c>
      <c r="L16" s="21">
        <f>Custos_Costs!L21*Pressupostos_Assumpt!C82</f>
        <v>69</v>
      </c>
      <c r="M16" s="21">
        <f>Custos_Costs!M21*Pressupostos_Assumpt!D82</f>
        <v>213.21</v>
      </c>
      <c r="N16" s="21">
        <f>Custos_Costs!N21*Pressupostos_Assumpt!D82</f>
        <v>213.21</v>
      </c>
      <c r="O16" s="21">
        <f>Custos_Costs!O21*Pressupostos_Assumpt!D82</f>
        <v>213.21</v>
      </c>
      <c r="P16" s="21">
        <f>Custos_Costs!P21*Pressupostos_Assumpt!D82</f>
        <v>71.070000000000007</v>
      </c>
      <c r="Q16" s="21">
        <f>Custos_Costs!Q21*Pressupostos_Assumpt!D82</f>
        <v>71.070000000000007</v>
      </c>
      <c r="R16" s="21">
        <f>Custos_Costs!R21*Pressupostos_Assumpt!D82</f>
        <v>71.070000000000007</v>
      </c>
      <c r="S16" s="21">
        <f t="shared" si="0"/>
        <v>263.4545454545455</v>
      </c>
      <c r="T16" s="21">
        <f t="shared" si="1"/>
        <v>852.84000000000015</v>
      </c>
    </row>
    <row r="17" spans="2:20" ht="15" customHeight="1" x14ac:dyDescent="0.2">
      <c r="B17" s="2" t="s">
        <v>330</v>
      </c>
      <c r="C17" s="21">
        <f>Custos_Costs!C24*Pressupostos_Assumpt!C82</f>
        <v>115</v>
      </c>
      <c r="D17" s="21">
        <f>Custos_Costs!D24*Pressupostos_Assumpt!C82</f>
        <v>115</v>
      </c>
      <c r="E17" s="21">
        <f>Custos_Costs!E24*Pressupostos_Assumpt!C82</f>
        <v>115</v>
      </c>
      <c r="F17" s="21">
        <f>Custos_Costs!F24*Pressupostos_Assumpt!C82</f>
        <v>115</v>
      </c>
      <c r="G17" s="21">
        <f>Custos_Costs!G24*Pressupostos_Assumpt!C82</f>
        <v>115</v>
      </c>
      <c r="H17" s="21">
        <f>Custos_Costs!H24*Pressupostos_Assumpt!C82</f>
        <v>115</v>
      </c>
      <c r="I17" s="21">
        <f>Custos_Costs!I24*Pressupostos_Assumpt!C82</f>
        <v>115</v>
      </c>
      <c r="J17" s="21">
        <f>Custos_Costs!J24*Pressupostos_Assumpt!C82</f>
        <v>115</v>
      </c>
      <c r="K17" s="21">
        <f>Custos_Costs!K24*Pressupostos_Assumpt!C82</f>
        <v>460</v>
      </c>
      <c r="L17" s="21">
        <f>Custos_Costs!L24*Pressupostos_Assumpt!C82</f>
        <v>460</v>
      </c>
      <c r="M17" s="21">
        <f>Custos_Costs!M24*Pressupostos_Assumpt!D82</f>
        <v>1421.4</v>
      </c>
      <c r="N17" s="21">
        <f>Custos_Costs!N24*Pressupostos_Assumpt!D82</f>
        <v>1421.4</v>
      </c>
      <c r="O17" s="21">
        <f>Custos_Costs!O24*Pressupostos_Assumpt!D82</f>
        <v>1421.4</v>
      </c>
      <c r="P17" s="21">
        <f>Custos_Costs!P24*Pressupostos_Assumpt!D82</f>
        <v>473.8</v>
      </c>
      <c r="Q17" s="21">
        <f>Custos_Costs!Q24*Pressupostos_Assumpt!D82</f>
        <v>473.8</v>
      </c>
      <c r="R17" s="21">
        <f>Custos_Costs!R24*Pressupostos_Assumpt!D82</f>
        <v>473.8</v>
      </c>
      <c r="S17" s="21">
        <f t="shared" si="0"/>
        <v>1840</v>
      </c>
      <c r="T17" s="21">
        <f t="shared" si="1"/>
        <v>5685.6000000000013</v>
      </c>
    </row>
    <row r="18" spans="2:20" ht="15" customHeight="1" x14ac:dyDescent="0.2">
      <c r="B18" s="3" t="s">
        <v>380</v>
      </c>
      <c r="C18" s="22">
        <f t="shared" ref="C18:R18" si="2">SUM(C8:C17)</f>
        <v>482.03295454545452</v>
      </c>
      <c r="D18" s="22">
        <f t="shared" si="2"/>
        <v>703.33738636363637</v>
      </c>
      <c r="E18" s="22">
        <f t="shared" si="2"/>
        <v>932.06715909090917</v>
      </c>
      <c r="F18" s="22">
        <f t="shared" si="2"/>
        <v>1210.5540340909092</v>
      </c>
      <c r="G18" s="22">
        <f t="shared" si="2"/>
        <v>1439.283806818182</v>
      </c>
      <c r="H18" s="22">
        <f t="shared" si="2"/>
        <v>1660.5882386363637</v>
      </c>
      <c r="I18" s="22">
        <f t="shared" si="2"/>
        <v>1774.9531250000002</v>
      </c>
      <c r="J18" s="22">
        <f t="shared" si="2"/>
        <v>1774.9531250000002</v>
      </c>
      <c r="K18" s="22">
        <f t="shared" si="2"/>
        <v>28670.62125</v>
      </c>
      <c r="L18" s="22">
        <f t="shared" si="2"/>
        <v>28670.62125</v>
      </c>
      <c r="M18" s="22">
        <f t="shared" si="2"/>
        <v>23609.643750000003</v>
      </c>
      <c r="N18" s="22">
        <f t="shared" si="2"/>
        <v>23609.643750000003</v>
      </c>
      <c r="O18" s="22">
        <f t="shared" si="2"/>
        <v>23609.643750000003</v>
      </c>
      <c r="P18" s="22">
        <f t="shared" si="2"/>
        <v>7869.8812500000004</v>
      </c>
      <c r="Q18" s="22">
        <f t="shared" si="2"/>
        <v>29132.346250000002</v>
      </c>
      <c r="R18" s="22">
        <f t="shared" si="2"/>
        <v>29132.346250000002</v>
      </c>
      <c r="S18" s="22">
        <f t="shared" si="0"/>
        <v>67319.012329545454</v>
      </c>
      <c r="T18" s="22">
        <f t="shared" si="1"/>
        <v>136963.505</v>
      </c>
    </row>
    <row r="20" spans="2:20" ht="18" customHeight="1" x14ac:dyDescent="0.2">
      <c r="B20" s="48" t="s">
        <v>381</v>
      </c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</row>
    <row r="21" spans="2:20" ht="15" customHeight="1" x14ac:dyDescent="0.2">
      <c r="B21" s="3" t="s">
        <v>382</v>
      </c>
      <c r="C21" s="22">
        <f t="shared" ref="C21:R21" si="3">C5-C18</f>
        <v>596.52590909090941</v>
      </c>
      <c r="D21" s="22">
        <f t="shared" si="3"/>
        <v>1006.6749772727273</v>
      </c>
      <c r="E21" s="22">
        <f t="shared" si="3"/>
        <v>1619.8832045454546</v>
      </c>
      <c r="F21" s="22">
        <f t="shared" si="3"/>
        <v>2183.3343295454547</v>
      </c>
      <c r="G21" s="22">
        <f t="shared" si="3"/>
        <v>2796.5425568181818</v>
      </c>
      <c r="H21" s="22">
        <f t="shared" si="3"/>
        <v>3206.6916250000004</v>
      </c>
      <c r="I21" s="22">
        <f t="shared" si="3"/>
        <v>3513.2957386363641</v>
      </c>
      <c r="J21" s="22">
        <f t="shared" si="3"/>
        <v>3513.2957386363641</v>
      </c>
      <c r="K21" s="22">
        <f t="shared" si="3"/>
        <v>17838.000750000003</v>
      </c>
      <c r="L21" s="22">
        <f t="shared" si="3"/>
        <v>17838.000750000003</v>
      </c>
      <c r="M21" s="22">
        <f t="shared" si="3"/>
        <v>44892.038250000012</v>
      </c>
      <c r="N21" s="22">
        <f t="shared" si="3"/>
        <v>45087.860249999998</v>
      </c>
      <c r="O21" s="22">
        <f t="shared" si="3"/>
        <v>45087.860249999998</v>
      </c>
      <c r="P21" s="22">
        <f t="shared" si="3"/>
        <v>15029.286750000001</v>
      </c>
      <c r="Q21" s="22">
        <f t="shared" si="3"/>
        <v>16594.505749999997</v>
      </c>
      <c r="R21" s="22">
        <f t="shared" si="3"/>
        <v>16594.505749999997</v>
      </c>
      <c r="S21" s="22">
        <f>C21+D21+E21+F21+G21+H21+I21+J21+K21+L21</f>
        <v>54112.245579545459</v>
      </c>
      <c r="T21" s="22">
        <f>M21+N21+O21+P21+Q21+R21</f>
        <v>183286.05700000003</v>
      </c>
    </row>
    <row r="22" spans="2:20" ht="18.75" customHeight="1" x14ac:dyDescent="0.2">
      <c r="B22" s="25" t="s">
        <v>383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</row>
    <row r="24" spans="2:20" ht="18" customHeight="1" x14ac:dyDescent="0.2">
      <c r="B24" s="48" t="s">
        <v>384</v>
      </c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</row>
    <row r="25" spans="2:20" ht="21.75" customHeight="1" x14ac:dyDescent="0.2">
      <c r="B25" s="2" t="s">
        <v>385</v>
      </c>
      <c r="C25" s="21">
        <f t="shared" ref="C25:R25" si="4">C5</f>
        <v>1078.5588636363639</v>
      </c>
      <c r="D25" s="21">
        <f t="shared" si="4"/>
        <v>1710.0123636363637</v>
      </c>
      <c r="E25" s="21">
        <f t="shared" si="4"/>
        <v>2551.9503636363638</v>
      </c>
      <c r="F25" s="21">
        <f t="shared" si="4"/>
        <v>3393.8883636363639</v>
      </c>
      <c r="G25" s="21">
        <f t="shared" si="4"/>
        <v>4235.8263636363636</v>
      </c>
      <c r="H25" s="21">
        <f t="shared" si="4"/>
        <v>4867.2798636363641</v>
      </c>
      <c r="I25" s="21">
        <f t="shared" si="4"/>
        <v>5288.2488636363641</v>
      </c>
      <c r="J25" s="21">
        <f t="shared" si="4"/>
        <v>5288.2488636363641</v>
      </c>
      <c r="K25" s="21">
        <f t="shared" si="4"/>
        <v>46508.622000000003</v>
      </c>
      <c r="L25" s="21">
        <f t="shared" si="4"/>
        <v>46508.622000000003</v>
      </c>
      <c r="M25" s="21">
        <f t="shared" si="4"/>
        <v>68501.682000000015</v>
      </c>
      <c r="N25" s="21">
        <f t="shared" si="4"/>
        <v>68697.504000000001</v>
      </c>
      <c r="O25" s="21">
        <f t="shared" si="4"/>
        <v>68697.504000000001</v>
      </c>
      <c r="P25" s="21">
        <f t="shared" si="4"/>
        <v>22899.168000000001</v>
      </c>
      <c r="Q25" s="21">
        <f t="shared" si="4"/>
        <v>45726.851999999999</v>
      </c>
      <c r="R25" s="21">
        <f t="shared" si="4"/>
        <v>45726.851999999999</v>
      </c>
      <c r="S25" s="21">
        <f>C25+D25+E25+F25+G25+H25+I25+J25+K25+L25</f>
        <v>121431.25790909091</v>
      </c>
      <c r="T25" s="21">
        <f>M25+N25+O25+P25+Q25+R25</f>
        <v>320249.56200000003</v>
      </c>
    </row>
    <row r="26" spans="2:20" ht="15" customHeight="1" x14ac:dyDescent="0.2">
      <c r="B26" s="2" t="s">
        <v>386</v>
      </c>
      <c r="C26" s="21">
        <f t="shared" ref="C26:R26" si="5">C18</f>
        <v>482.03295454545452</v>
      </c>
      <c r="D26" s="21">
        <f t="shared" si="5"/>
        <v>703.33738636363637</v>
      </c>
      <c r="E26" s="21">
        <f t="shared" si="5"/>
        <v>932.06715909090917</v>
      </c>
      <c r="F26" s="21">
        <f t="shared" si="5"/>
        <v>1210.5540340909092</v>
      </c>
      <c r="G26" s="21">
        <f t="shared" si="5"/>
        <v>1439.283806818182</v>
      </c>
      <c r="H26" s="21">
        <f t="shared" si="5"/>
        <v>1660.5882386363637</v>
      </c>
      <c r="I26" s="21">
        <f t="shared" si="5"/>
        <v>1774.9531250000002</v>
      </c>
      <c r="J26" s="21">
        <f t="shared" si="5"/>
        <v>1774.9531250000002</v>
      </c>
      <c r="K26" s="21">
        <f t="shared" si="5"/>
        <v>28670.62125</v>
      </c>
      <c r="L26" s="21">
        <f t="shared" si="5"/>
        <v>28670.62125</v>
      </c>
      <c r="M26" s="21">
        <f t="shared" si="5"/>
        <v>23609.643750000003</v>
      </c>
      <c r="N26" s="21">
        <f t="shared" si="5"/>
        <v>23609.643750000003</v>
      </c>
      <c r="O26" s="21">
        <f t="shared" si="5"/>
        <v>23609.643750000003</v>
      </c>
      <c r="P26" s="21">
        <f t="shared" si="5"/>
        <v>7869.8812500000004</v>
      </c>
      <c r="Q26" s="21">
        <f t="shared" si="5"/>
        <v>29132.346250000002</v>
      </c>
      <c r="R26" s="21">
        <f t="shared" si="5"/>
        <v>29132.346250000002</v>
      </c>
      <c r="S26" s="21">
        <f>C26+D26+E26+F26+G26+H26+I26+J26+K26+L26</f>
        <v>67319.012329545454</v>
      </c>
      <c r="T26" s="21">
        <f>M26+N26+O26+P26+Q26+R26</f>
        <v>136963.505</v>
      </c>
    </row>
    <row r="27" spans="2:20" ht="21.75" customHeight="1" x14ac:dyDescent="0.2">
      <c r="B27" s="2" t="s">
        <v>387</v>
      </c>
      <c r="C27" s="21" t="s">
        <v>388</v>
      </c>
      <c r="D27" s="21">
        <f t="shared" ref="D27:R27" si="6">MAX(0,C21)</f>
        <v>596.52590909090941</v>
      </c>
      <c r="E27" s="21">
        <f t="shared" si="6"/>
        <v>1006.6749772727273</v>
      </c>
      <c r="F27" s="21">
        <f t="shared" si="6"/>
        <v>1619.8832045454546</v>
      </c>
      <c r="G27" s="21">
        <f t="shared" si="6"/>
        <v>2183.3343295454547</v>
      </c>
      <c r="H27" s="21">
        <f t="shared" si="6"/>
        <v>2796.5425568181818</v>
      </c>
      <c r="I27" s="21">
        <f t="shared" si="6"/>
        <v>3206.6916250000004</v>
      </c>
      <c r="J27" s="21">
        <f t="shared" si="6"/>
        <v>3513.2957386363641</v>
      </c>
      <c r="K27" s="21">
        <f t="shared" si="6"/>
        <v>3513.2957386363641</v>
      </c>
      <c r="L27" s="21">
        <f t="shared" si="6"/>
        <v>17838.000750000003</v>
      </c>
      <c r="M27" s="21">
        <f t="shared" si="6"/>
        <v>17838.000750000003</v>
      </c>
      <c r="N27" s="21">
        <f t="shared" si="6"/>
        <v>44892.038250000012</v>
      </c>
      <c r="O27" s="21">
        <f t="shared" si="6"/>
        <v>45087.860249999998</v>
      </c>
      <c r="P27" s="21">
        <f t="shared" si="6"/>
        <v>45087.860249999998</v>
      </c>
      <c r="Q27" s="21">
        <f t="shared" si="6"/>
        <v>15029.286750000001</v>
      </c>
      <c r="R27" s="21">
        <f t="shared" si="6"/>
        <v>16594.505749999997</v>
      </c>
      <c r="S27" s="21">
        <f>C27+D27+E27+F27+G27+H27+I27+J27+K27+L27</f>
        <v>36274.244829545452</v>
      </c>
      <c r="T27" s="21">
        <f>M27+N27+O27+P27+Q27+R27</f>
        <v>184529.55200000003</v>
      </c>
    </row>
    <row r="28" spans="2:20" ht="21.75" customHeight="1" x14ac:dyDescent="0.2">
      <c r="B28" s="2" t="s">
        <v>389</v>
      </c>
      <c r="C28" s="21" t="s">
        <v>388</v>
      </c>
      <c r="D28" s="21">
        <f t="shared" ref="D28:R28" si="7">MAX(0,-C21)</f>
        <v>0</v>
      </c>
      <c r="E28" s="21">
        <f t="shared" si="7"/>
        <v>0</v>
      </c>
      <c r="F28" s="21">
        <f t="shared" si="7"/>
        <v>0</v>
      </c>
      <c r="G28" s="21">
        <f t="shared" si="7"/>
        <v>0</v>
      </c>
      <c r="H28" s="21">
        <f t="shared" si="7"/>
        <v>0</v>
      </c>
      <c r="I28" s="21">
        <f t="shared" si="7"/>
        <v>0</v>
      </c>
      <c r="J28" s="21">
        <f t="shared" si="7"/>
        <v>0</v>
      </c>
      <c r="K28" s="21">
        <f t="shared" si="7"/>
        <v>0</v>
      </c>
      <c r="L28" s="21">
        <f t="shared" si="7"/>
        <v>0</v>
      </c>
      <c r="M28" s="21">
        <f t="shared" si="7"/>
        <v>0</v>
      </c>
      <c r="N28" s="21">
        <f t="shared" si="7"/>
        <v>0</v>
      </c>
      <c r="O28" s="21">
        <f t="shared" si="7"/>
        <v>0</v>
      </c>
      <c r="P28" s="21">
        <f t="shared" si="7"/>
        <v>0</v>
      </c>
      <c r="Q28" s="21">
        <f t="shared" si="7"/>
        <v>0</v>
      </c>
      <c r="R28" s="21">
        <f t="shared" si="7"/>
        <v>0</v>
      </c>
      <c r="S28" s="21">
        <f>C28+D28+E28+F28+G28+H28+I28+J28+K28+L28</f>
        <v>0</v>
      </c>
      <c r="T28" s="21">
        <f>M28+N28+O28+P28+Q28+R28</f>
        <v>0</v>
      </c>
    </row>
    <row r="29" spans="2:20" ht="21.75" customHeight="1" x14ac:dyDescent="0.2">
      <c r="B29" s="3" t="s">
        <v>390</v>
      </c>
      <c r="C29" s="22">
        <f t="shared" ref="C29:R29" si="8">C25-C26-C27+C28</f>
        <v>596.52590909090941</v>
      </c>
      <c r="D29" s="22">
        <f t="shared" si="8"/>
        <v>410.14906818181794</v>
      </c>
      <c r="E29" s="22">
        <f t="shared" si="8"/>
        <v>613.2082272727273</v>
      </c>
      <c r="F29" s="22">
        <f t="shared" si="8"/>
        <v>563.45112500000005</v>
      </c>
      <c r="G29" s="22">
        <f t="shared" si="8"/>
        <v>613.20822727272707</v>
      </c>
      <c r="H29" s="22">
        <f t="shared" si="8"/>
        <v>410.14906818181862</v>
      </c>
      <c r="I29" s="22">
        <f t="shared" si="8"/>
        <v>306.60411363636376</v>
      </c>
      <c r="J29" s="22">
        <f t="shared" si="8"/>
        <v>0</v>
      </c>
      <c r="K29" s="22">
        <f t="shared" si="8"/>
        <v>14324.70501136364</v>
      </c>
      <c r="L29" s="22">
        <f t="shared" si="8"/>
        <v>0</v>
      </c>
      <c r="M29" s="22">
        <f t="shared" si="8"/>
        <v>27054.037500000009</v>
      </c>
      <c r="N29" s="22">
        <f t="shared" si="8"/>
        <v>195.82199999998556</v>
      </c>
      <c r="O29" s="22">
        <f t="shared" si="8"/>
        <v>0</v>
      </c>
      <c r="P29" s="22">
        <f t="shared" si="8"/>
        <v>-30058.573499999999</v>
      </c>
      <c r="Q29" s="22">
        <f t="shared" si="8"/>
        <v>1565.2189999999955</v>
      </c>
      <c r="R29" s="22">
        <f t="shared" si="8"/>
        <v>0</v>
      </c>
      <c r="S29" s="22">
        <f>C29+D29+E29+F29+G29+H29+I29+J29+K29+L29</f>
        <v>17838.000750000003</v>
      </c>
      <c r="T29" s="22">
        <f>M29+N29+O29+P29+Q29+R29</f>
        <v>-1243.4950000000081</v>
      </c>
    </row>
  </sheetData>
  <mergeCells count="8">
    <mergeCell ref="W9:AA15"/>
    <mergeCell ref="B20:T20"/>
    <mergeCell ref="B24:T24"/>
    <mergeCell ref="B1:T1"/>
    <mergeCell ref="C2:L2"/>
    <mergeCell ref="M2:R2"/>
    <mergeCell ref="B4:T4"/>
    <mergeCell ref="B7:T7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K54"/>
  <sheetViews>
    <sheetView showGridLines="0" zoomScale="140" zoomScaleNormal="100" workbookViewId="0">
      <selection activeCell="C9" sqref="C9"/>
    </sheetView>
  </sheetViews>
  <sheetFormatPr baseColWidth="10" defaultColWidth="8.6640625" defaultRowHeight="15" x14ac:dyDescent="0.2"/>
  <cols>
    <col min="1" max="1" width="2.5" customWidth="1"/>
    <col min="2" max="2" width="42" customWidth="1"/>
    <col min="3" max="8" width="15" customWidth="1"/>
    <col min="9" max="9" width="14" customWidth="1"/>
    <col min="10" max="10" width="13" customWidth="1"/>
    <col min="11" max="11" width="11.33203125" customWidth="1"/>
  </cols>
  <sheetData>
    <row r="1" spans="2:11" ht="24" customHeight="1" x14ac:dyDescent="0.2">
      <c r="B1" s="45" t="s">
        <v>391</v>
      </c>
      <c r="C1" s="45"/>
      <c r="D1" s="45"/>
      <c r="E1" s="45"/>
      <c r="F1" s="45"/>
      <c r="G1" s="45"/>
      <c r="H1" s="45"/>
    </row>
    <row r="3" spans="2:11" ht="19.5" customHeight="1" x14ac:dyDescent="0.2">
      <c r="B3" s="1" t="s">
        <v>224</v>
      </c>
      <c r="C3" s="1" t="s">
        <v>392</v>
      </c>
      <c r="D3" s="1" t="s">
        <v>393</v>
      </c>
      <c r="E3" s="1" t="s">
        <v>394</v>
      </c>
      <c r="F3" s="1" t="s">
        <v>395</v>
      </c>
      <c r="I3" s="26" t="s">
        <v>396</v>
      </c>
    </row>
    <row r="4" spans="2:11" ht="15" customHeight="1" x14ac:dyDescent="0.2">
      <c r="B4" s="24" t="s">
        <v>273</v>
      </c>
      <c r="C4" s="20"/>
      <c r="D4" s="20"/>
      <c r="E4" s="20"/>
      <c r="F4" s="20"/>
      <c r="I4" s="27" t="s">
        <v>397</v>
      </c>
      <c r="J4" s="28">
        <f>Custos_Costs!T9</f>
        <v>740999.64999999991</v>
      </c>
    </row>
    <row r="5" spans="2:11" ht="15" customHeight="1" x14ac:dyDescent="0.2">
      <c r="B5" s="3" t="s">
        <v>398</v>
      </c>
      <c r="C5" s="22">
        <f>Receita_Revenue!S9</f>
        <v>527961.99090909096</v>
      </c>
      <c r="D5" s="22">
        <f>Receita_Revenue!T9</f>
        <v>1392389.4</v>
      </c>
      <c r="E5" s="29">
        <f>IF(Receita_Revenue!S9=0,0,Receita_Revenue!S9/Receita_Revenue!S9)</f>
        <v>1</v>
      </c>
      <c r="F5" s="29">
        <f>IF(Receita_Revenue!T9=0,0,Receita_Revenue!T9/Receita_Revenue!T9)</f>
        <v>1</v>
      </c>
      <c r="I5" s="27" t="s">
        <v>399</v>
      </c>
      <c r="J5" s="28">
        <f>Custos_Costs!T16</f>
        <v>462880</v>
      </c>
    </row>
    <row r="6" spans="2:11" ht="15" customHeight="1" x14ac:dyDescent="0.2">
      <c r="I6" s="27" t="s">
        <v>400</v>
      </c>
      <c r="J6" s="28">
        <f>Custos_Costs!T22</f>
        <v>14526</v>
      </c>
    </row>
    <row r="7" spans="2:11" ht="15" customHeight="1" x14ac:dyDescent="0.2">
      <c r="B7" s="24" t="s">
        <v>401</v>
      </c>
      <c r="C7" s="20"/>
      <c r="D7" s="20"/>
      <c r="E7" s="20"/>
      <c r="F7" s="20"/>
      <c r="I7" s="27" t="s">
        <v>402</v>
      </c>
      <c r="J7" s="28">
        <f>Custos_Costs!T25</f>
        <v>24720</v>
      </c>
    </row>
    <row r="8" spans="2:11" ht="15" customHeight="1" x14ac:dyDescent="0.2">
      <c r="B8" s="3" t="s">
        <v>13</v>
      </c>
      <c r="C8" s="22">
        <f>Custos_Costs!S9</f>
        <v>270265.52840909094</v>
      </c>
      <c r="D8" s="22">
        <f>Custos_Costs!T9</f>
        <v>740999.64999999991</v>
      </c>
      <c r="E8" s="29">
        <f>IF(Receita_Revenue!S9=0,0,Custos_Costs!S9/Receita_Revenue!S9)</f>
        <v>0.51190338142282588</v>
      </c>
      <c r="F8" s="29">
        <f>IF(Receita_Revenue!T9=0,0,Custos_Costs!T9/Receita_Revenue!T9)</f>
        <v>0.5321784624329946</v>
      </c>
    </row>
    <row r="9" spans="2:11" ht="15" customHeight="1" x14ac:dyDescent="0.2">
      <c r="B9" s="2" t="s">
        <v>403</v>
      </c>
      <c r="C9" s="21">
        <f>Custos_Costs!S5</f>
        <v>157718.02500000002</v>
      </c>
      <c r="D9" s="21">
        <f>Custos_Costs!T5</f>
        <v>585875.40000000014</v>
      </c>
      <c r="E9" s="23">
        <f>IF(Receita_Revenue!S9=0,0,Custos_Costs!S5/Receita_Revenue!S9)</f>
        <v>0.29872988532456168</v>
      </c>
      <c r="F9" s="23">
        <f>IF(Receita_Revenue!T9=0,0,Custos_Costs!T5/Receita_Revenue!T9)</f>
        <v>0.42076979327765651</v>
      </c>
      <c r="I9" s="26" t="s">
        <v>404</v>
      </c>
    </row>
    <row r="10" spans="2:11" ht="15" customHeight="1" x14ac:dyDescent="0.2">
      <c r="B10" s="2" t="s">
        <v>405</v>
      </c>
      <c r="C10" s="21">
        <f>Custos_Costs!S6</f>
        <v>93496</v>
      </c>
      <c r="D10" s="21">
        <f>Custos_Costs!T6</f>
        <v>93496</v>
      </c>
      <c r="E10" s="23">
        <f>IF(Receita_Revenue!S9=0,0,Custos_Costs!S6/Receita_Revenue!S9)</f>
        <v>0.17708850563088915</v>
      </c>
      <c r="F10" s="23">
        <f>IF(Receita_Revenue!T9=0,0,Custos_Costs!T6/Receita_Revenue!T9)</f>
        <v>6.7147882625363281E-2</v>
      </c>
      <c r="I10" s="30"/>
      <c r="J10" s="30">
        <v>2026</v>
      </c>
      <c r="K10" s="30">
        <v>2027</v>
      </c>
    </row>
    <row r="11" spans="2:11" ht="15" customHeight="1" x14ac:dyDescent="0.2">
      <c r="B11" s="2" t="s">
        <v>406</v>
      </c>
      <c r="C11" s="21">
        <f>Custos_Costs!S7</f>
        <v>18875.849999999999</v>
      </c>
      <c r="D11" s="21">
        <f>Custos_Costs!T7</f>
        <v>60975.750000000007</v>
      </c>
      <c r="E11" s="23">
        <f>IF(Receita_Revenue!S9=0,0,Custos_Costs!S7/Receita_Revenue!S9)</f>
        <v>3.5752289606109551E-2</v>
      </c>
      <c r="F11" s="23">
        <f>IF(Receita_Revenue!T9=0,0,Custos_Costs!T7/Receita_Revenue!T9)</f>
        <v>4.3792167622074697E-2</v>
      </c>
      <c r="I11" t="s">
        <v>407</v>
      </c>
      <c r="J11" s="28">
        <f>Receita_Revenue!S9</f>
        <v>527961.99090909096</v>
      </c>
      <c r="K11" s="28">
        <f>Receita_Revenue!T9</f>
        <v>1392389.4</v>
      </c>
    </row>
    <row r="12" spans="2:11" ht="15" customHeight="1" x14ac:dyDescent="0.2">
      <c r="B12" s="2" t="s">
        <v>408</v>
      </c>
      <c r="C12" s="21">
        <f>Custos_Costs!S8</f>
        <v>175.65340909090909</v>
      </c>
      <c r="D12" s="21">
        <f>Custos_Costs!T8</f>
        <v>652.5</v>
      </c>
      <c r="E12" s="23">
        <f>IF(Receita_Revenue!S9=0,0,Custos_Costs!S8/Receita_Revenue!S9)</f>
        <v>3.3270086126551221E-4</v>
      </c>
      <c r="F12" s="23">
        <f>IF(Receita_Revenue!T9=0,0,Custos_Costs!T8/Receita_Revenue!T9)</f>
        <v>4.6861890790033311E-4</v>
      </c>
      <c r="I12" t="s">
        <v>409</v>
      </c>
      <c r="J12" s="28">
        <f>Custos_Costs!S26</f>
        <v>464907.34659090912</v>
      </c>
      <c r="K12" s="28">
        <f>Custos_Costs!T26</f>
        <v>1243125.6499999999</v>
      </c>
    </row>
    <row r="13" spans="2:11" ht="15" customHeight="1" x14ac:dyDescent="0.2">
      <c r="B13" s="3" t="s">
        <v>333</v>
      </c>
      <c r="C13" s="22">
        <f>Custos_Costs!S16</f>
        <v>181821.36363636365</v>
      </c>
      <c r="D13" s="22">
        <f>Custos_Costs!T16</f>
        <v>462880</v>
      </c>
      <c r="E13" s="29">
        <f>IF(Receita_Revenue!S9=0,0,Custos_Costs!S16/Receita_Revenue!S9)</f>
        <v>0.34438343435156721</v>
      </c>
      <c r="F13" s="29">
        <f>IF(Receita_Revenue!T9=0,0,Custos_Costs!T16/Receita_Revenue!T9)</f>
        <v>0.33243573959985623</v>
      </c>
      <c r="I13" t="s">
        <v>410</v>
      </c>
      <c r="J13" s="28">
        <f>DRE_PL!S13</f>
        <v>49482.773624999987</v>
      </c>
      <c r="K13" s="28">
        <f>DRE_PL!T13</f>
        <v>117918.36250000003</v>
      </c>
    </row>
    <row r="14" spans="2:11" ht="15" customHeight="1" x14ac:dyDescent="0.2">
      <c r="B14" s="3" t="s">
        <v>334</v>
      </c>
      <c r="C14" s="22">
        <f>Custos_Costs!S22</f>
        <v>4820.454545454546</v>
      </c>
      <c r="D14" s="22">
        <f>Custos_Costs!T22</f>
        <v>14526</v>
      </c>
      <c r="E14" s="29">
        <f>IF(Receita_Revenue!S9=0,0,Custos_Costs!S22/Receita_Revenue!S9)</f>
        <v>9.1303060228905258E-3</v>
      </c>
      <c r="F14" s="29">
        <f>IF(Receita_Revenue!T9=0,0,Custos_Costs!T22/Receita_Revenue!T9)</f>
        <v>1.0432426446222588E-2</v>
      </c>
    </row>
    <row r="15" spans="2:11" ht="15" customHeight="1" x14ac:dyDescent="0.2">
      <c r="B15" s="3" t="s">
        <v>411</v>
      </c>
      <c r="C15" s="22">
        <f>Custos_Costs!S25</f>
        <v>8000</v>
      </c>
      <c r="D15" s="22">
        <f>Custos_Costs!T25</f>
        <v>24720</v>
      </c>
      <c r="E15" s="29">
        <f>IF(Receita_Revenue!S9=0,0,Custos_Costs!S25/Receita_Revenue!S9)</f>
        <v>1.5152605940864991E-2</v>
      </c>
      <c r="F15" s="29">
        <f>IF(Receita_Revenue!T9=0,0,Custos_Costs!T25/Receita_Revenue!T9)</f>
        <v>1.7753654257925262E-2</v>
      </c>
    </row>
    <row r="16" spans="2:11" ht="15" customHeight="1" x14ac:dyDescent="0.2">
      <c r="B16" s="3" t="s">
        <v>412</v>
      </c>
      <c r="C16" s="22">
        <f>Custos_Costs!S26</f>
        <v>464907.34659090912</v>
      </c>
      <c r="D16" s="22">
        <f>Custos_Costs!T26</f>
        <v>1243125.6499999999</v>
      </c>
      <c r="E16" s="29">
        <f>IF(Receita_Revenue!S9=0,0,Custos_Costs!S26/Receita_Revenue!S9)</f>
        <v>0.88056972773814857</v>
      </c>
      <c r="F16" s="29">
        <f>IF(Receita_Revenue!T9=0,0,Custos_Costs!T26/Receita_Revenue!T9)</f>
        <v>0.89280028273699874</v>
      </c>
    </row>
    <row r="18" spans="2:6" ht="15" customHeight="1" x14ac:dyDescent="0.2">
      <c r="B18" s="24" t="s">
        <v>413</v>
      </c>
      <c r="C18" s="20"/>
      <c r="D18" s="20"/>
      <c r="E18" s="20"/>
      <c r="F18" s="20"/>
    </row>
    <row r="19" spans="2:6" ht="15" customHeight="1" x14ac:dyDescent="0.2">
      <c r="B19" s="3" t="s">
        <v>339</v>
      </c>
      <c r="C19" s="22">
        <f>DRE_PL!S6</f>
        <v>63054.644318181803</v>
      </c>
      <c r="D19" s="22">
        <f>DRE_PL!T6</f>
        <v>149263.75000000003</v>
      </c>
      <c r="E19" s="29">
        <f>IF(Receita_Revenue!S9=0,0,DRE_PL!S6/Receita_Revenue!S9)</f>
        <v>0.11943027226185132</v>
      </c>
      <c r="F19" s="29">
        <f>IF(Receita_Revenue!T9=0,0,DRE_PL!T6/Receita_Revenue!T9)</f>
        <v>0.10719971726300132</v>
      </c>
    </row>
    <row r="20" spans="2:6" ht="15" customHeight="1" x14ac:dyDescent="0.2">
      <c r="B20" s="3" t="s">
        <v>368</v>
      </c>
      <c r="C20" s="22">
        <f>DRE_PL!S13</f>
        <v>49482.773624999987</v>
      </c>
      <c r="D20" s="22">
        <f>DRE_PL!T13</f>
        <v>117918.36250000003</v>
      </c>
      <c r="E20" s="29">
        <f>IF(Receita_Revenue!S9=0,0,DRE_PL!S13/Receita_Revenue!S9)</f>
        <v>9.3724121200081528E-2</v>
      </c>
      <c r="F20" s="29">
        <f>IF(Receita_Revenue!T9=0,0,DRE_PL!T13/Receita_Revenue!T9)</f>
        <v>8.4687776637771037E-2</v>
      </c>
    </row>
    <row r="54" spans="2:8" ht="18.75" customHeight="1" x14ac:dyDescent="0.2">
      <c r="B54" s="49" t="s">
        <v>414</v>
      </c>
      <c r="C54" s="49"/>
      <c r="D54" s="49"/>
      <c r="E54" s="49"/>
      <c r="F54" s="49"/>
      <c r="G54" s="49"/>
      <c r="H54" s="49"/>
    </row>
  </sheetData>
  <mergeCells count="2">
    <mergeCell ref="B1:H1"/>
    <mergeCell ref="B54:H5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J51"/>
  <sheetViews>
    <sheetView showGridLines="0" zoomScale="111" zoomScaleNormal="100" workbookViewId="0">
      <pane xSplit="2" ySplit="3" topLeftCell="C8" activePane="bottomRight" state="frozen"/>
      <selection pane="topRight" activeCell="C1" sqref="C1"/>
      <selection pane="bottomLeft" activeCell="A4" sqref="A4"/>
      <selection pane="bottomRight" activeCell="K25" sqref="K25"/>
    </sheetView>
  </sheetViews>
  <sheetFormatPr baseColWidth="10" defaultColWidth="8.6640625" defaultRowHeight="15" x14ac:dyDescent="0.2"/>
  <cols>
    <col min="1" max="1" width="2.5" customWidth="1"/>
    <col min="2" max="2" width="40" customWidth="1"/>
    <col min="3" max="8" width="14" customWidth="1"/>
  </cols>
  <sheetData>
    <row r="1" spans="2:8" ht="24" customHeight="1" x14ac:dyDescent="0.2">
      <c r="B1" s="50" t="s">
        <v>415</v>
      </c>
      <c r="C1" s="50"/>
      <c r="D1" s="50"/>
      <c r="E1" s="50"/>
      <c r="F1" s="50"/>
      <c r="G1" s="50"/>
      <c r="H1" s="50"/>
    </row>
    <row r="2" spans="2:8" ht="21.75" customHeight="1" x14ac:dyDescent="0.2">
      <c r="B2" s="49" t="s">
        <v>416</v>
      </c>
      <c r="C2" s="49"/>
      <c r="D2" s="49"/>
      <c r="E2" s="49"/>
      <c r="F2" s="49"/>
      <c r="G2" s="49"/>
      <c r="H2" s="49"/>
    </row>
    <row r="4" spans="2:8" x14ac:dyDescent="0.2">
      <c r="B4" s="31" t="s">
        <v>417</v>
      </c>
      <c r="C4" s="20"/>
      <c r="D4" s="20"/>
      <c r="E4" s="20"/>
    </row>
    <row r="5" spans="2:8" x14ac:dyDescent="0.2">
      <c r="B5" s="1" t="s">
        <v>418</v>
      </c>
      <c r="C5" s="1" t="s">
        <v>419</v>
      </c>
      <c r="D5" s="1" t="s">
        <v>420</v>
      </c>
      <c r="E5" s="1" t="s">
        <v>421</v>
      </c>
    </row>
    <row r="6" spans="2:8" x14ac:dyDescent="0.2">
      <c r="B6" s="2" t="s">
        <v>422</v>
      </c>
      <c r="C6" s="32">
        <v>8.5</v>
      </c>
      <c r="D6" s="32">
        <f>Pressupostos_Assumpt!C40</f>
        <v>6.2</v>
      </c>
      <c r="E6" s="32">
        <v>6</v>
      </c>
    </row>
    <row r="7" spans="2:8" x14ac:dyDescent="0.2">
      <c r="B7" s="2" t="s">
        <v>423</v>
      </c>
      <c r="C7" s="32">
        <v>16.5</v>
      </c>
      <c r="D7" s="32">
        <f>Pressupostos_Assumpt!C6</f>
        <v>17.899999999999999</v>
      </c>
      <c r="E7" s="32">
        <v>19</v>
      </c>
    </row>
    <row r="8" spans="2:8" x14ac:dyDescent="0.2">
      <c r="B8" s="2" t="s">
        <v>424</v>
      </c>
      <c r="C8" s="14">
        <v>0.25</v>
      </c>
      <c r="D8" s="14">
        <f>Pressupostos_Assumpt!C49</f>
        <v>0.15</v>
      </c>
      <c r="E8" s="14">
        <v>0.12</v>
      </c>
    </row>
    <row r="9" spans="2:8" x14ac:dyDescent="0.2">
      <c r="B9" s="2" t="s">
        <v>425</v>
      </c>
      <c r="C9" s="14">
        <v>0.18</v>
      </c>
      <c r="D9" s="14">
        <f>Pressupostos_Assumpt!C31</f>
        <v>0.15</v>
      </c>
      <c r="E9" s="14">
        <v>0.1</v>
      </c>
    </row>
    <row r="10" spans="2:8" x14ac:dyDescent="0.2">
      <c r="B10" s="2" t="s">
        <v>426</v>
      </c>
      <c r="C10" s="14">
        <v>0.25</v>
      </c>
      <c r="D10" s="14">
        <f>Pressupostos_Assumpt!C47</f>
        <v>0.15</v>
      </c>
      <c r="E10" s="14">
        <v>0.1</v>
      </c>
    </row>
    <row r="11" spans="2:8" x14ac:dyDescent="0.2">
      <c r="B11" s="2" t="s">
        <v>427</v>
      </c>
      <c r="C11" s="14">
        <v>0.9</v>
      </c>
      <c r="D11" s="14">
        <v>1</v>
      </c>
      <c r="E11" s="14">
        <v>1.1000000000000001</v>
      </c>
    </row>
    <row r="12" spans="2:8" x14ac:dyDescent="0.2">
      <c r="B12" s="2" t="s">
        <v>26</v>
      </c>
      <c r="C12" s="21">
        <f>81900*C7+807750*C11*0.04+146140</f>
        <v>1526569</v>
      </c>
      <c r="D12" s="21">
        <f>81900*D7+807750*D11*0.04+146140</f>
        <v>1644460</v>
      </c>
      <c r="E12" s="21">
        <f>81900*E7+807750*E11*0.04+146140</f>
        <v>1737781</v>
      </c>
    </row>
    <row r="13" spans="2:8" x14ac:dyDescent="0.2">
      <c r="B13" s="2" t="s">
        <v>13</v>
      </c>
      <c r="C13" s="21">
        <f>CEILING(25*(1+C8),1)*((C6*173.3333)*14*1.2375+1584)+CEILING(25*(1+C8),1)*(C6*173.3333)*1.7*2+60975+CEILING(25*(1+C8),1)*300*C10</f>
        <v>1091177.4787600001</v>
      </c>
      <c r="D13" s="21">
        <f>CEILING(25*(1+D8),1)*((D6*173.3333)*14*1.2375+1584)+CEILING(25*(1+D8),1)*(D6*173.3333)*1.7*2+60975+CEILING(25*(1+D8),1)*300*D10</f>
        <v>754117.4091215001</v>
      </c>
      <c r="E13" s="21">
        <f>CEILING(25*(1+E8),1)*((E6*173.3333)*14*1.2375+1584)+CEILING(25*(1+E8),1)*(E6*173.3333)*1.7*2+60975+CEILING(25*(1+E8),1)*300*E10</f>
        <v>709678.88394000009</v>
      </c>
    </row>
    <row r="14" spans="2:8" x14ac:dyDescent="0.2">
      <c r="B14" s="2" t="s">
        <v>333</v>
      </c>
      <c r="C14" s="21">
        <f>CEILING(25*(1+C9),1)*12*1085+CEILING(25*(1+C9),1)*1450*2+1200</f>
        <v>478800</v>
      </c>
      <c r="D14" s="21">
        <f>CEILING(25*(1+D9),1)*12*1085+CEILING(25*(1+D9),1)*1450*2+1200</f>
        <v>462880</v>
      </c>
      <c r="E14" s="21">
        <f>CEILING(25*(1+E9),1)*12*1085+CEILING(25*(1+E9),1)*1450*2+1200</f>
        <v>446960</v>
      </c>
    </row>
    <row r="15" spans="2:8" x14ac:dyDescent="0.2">
      <c r="B15" s="2" t="s">
        <v>428</v>
      </c>
      <c r="C15" s="21">
        <f>39246</f>
        <v>39246</v>
      </c>
      <c r="D15" s="21">
        <f>39246</f>
        <v>39246</v>
      </c>
      <c r="E15" s="21">
        <f>39246</f>
        <v>39246</v>
      </c>
    </row>
    <row r="16" spans="2:8" x14ac:dyDescent="0.2">
      <c r="B16" s="2" t="s">
        <v>341</v>
      </c>
      <c r="C16" s="21">
        <f>CEILING(25*(1+C9),1)*48</f>
        <v>1440</v>
      </c>
      <c r="D16" s="21">
        <f>CEILING(25*(1+D9),1)*48</f>
        <v>1392</v>
      </c>
      <c r="E16" s="21">
        <f>CEILING(25*(1+E9),1)*48</f>
        <v>1344</v>
      </c>
    </row>
    <row r="17" spans="2:10" x14ac:dyDescent="0.2">
      <c r="B17" s="2" t="s">
        <v>429</v>
      </c>
      <c r="C17" s="21">
        <f>C12-C13-C14-C15-C16</f>
        <v>-84094.478760000085</v>
      </c>
      <c r="D17" s="21">
        <f>D12-D13-D14-D15-D16</f>
        <v>386824.5908784999</v>
      </c>
      <c r="E17" s="21">
        <f>E12-E13-E14-E15-E16</f>
        <v>540552.11605999991</v>
      </c>
    </row>
    <row r="18" spans="2:10" x14ac:dyDescent="0.2">
      <c r="B18" s="3" t="s">
        <v>430</v>
      </c>
      <c r="C18" s="22">
        <f>IF(C17&gt;0,C17*0.79,C17)</f>
        <v>-84094.478760000085</v>
      </c>
      <c r="D18" s="22">
        <f>IF(D17&gt;0,D17*0.79,D17)</f>
        <v>305591.42679401493</v>
      </c>
      <c r="E18" s="22">
        <f>IF(E17&gt;0,E17*0.79,E17)</f>
        <v>427036.17168739997</v>
      </c>
    </row>
    <row r="19" spans="2:10" x14ac:dyDescent="0.2">
      <c r="B19" s="3" t="s">
        <v>431</v>
      </c>
      <c r="C19" s="29">
        <f>IF(C12=0,0,C18/C12)</f>
        <v>-5.5087243852063081E-2</v>
      </c>
      <c r="D19" s="29">
        <f>IF(D12=0,0,D18/D12)</f>
        <v>0.18583086654221748</v>
      </c>
      <c r="E19" s="29">
        <f>IF(E12=0,0,E18/E12)</f>
        <v>0.24573647179213029</v>
      </c>
    </row>
    <row r="21" spans="2:10" x14ac:dyDescent="0.2">
      <c r="B21" s="31" t="s">
        <v>432</v>
      </c>
      <c r="C21" s="20"/>
      <c r="D21" s="20"/>
      <c r="E21" s="20"/>
      <c r="F21" s="20"/>
      <c r="G21" s="20"/>
    </row>
    <row r="22" spans="2:10" x14ac:dyDescent="0.2">
      <c r="B22" s="3" t="s">
        <v>433</v>
      </c>
      <c r="C22" s="33">
        <v>6</v>
      </c>
      <c r="D22" s="33">
        <v>7</v>
      </c>
      <c r="E22" s="33">
        <v>8</v>
      </c>
      <c r="F22" s="33">
        <v>9</v>
      </c>
      <c r="G22" s="33">
        <v>10</v>
      </c>
    </row>
    <row r="23" spans="2:10" x14ac:dyDescent="0.2">
      <c r="B23" s="2" t="s">
        <v>434</v>
      </c>
      <c r="C23" s="21">
        <f>IF(((81900*$D$7+807750*$D$11*0.04+146140)-(CEILING(25*(1+$D$8),1)*((C22*173.3333)*14*1.2375+1584)+CEILING(25*(1+$D$8),1)*(C22*173.3333)*1.7*2+60975+CEILING(25*(1+$D$8),1)*300*$D$10)-(CEILING(25*(1+$D$9),1)*12*1085+CEILING(25*(1+$D$9),1)*1450*2+1200)-39246-(CEILING(25*(1+$D$9),1)*48))&gt;0,((81900*$D$7+807750*$D$11*0.04+146140)-(CEILING(25*(1+$D$8),1)*((C22*173.3333)*14*1.2375+1584)+CEILING(25*(1+$D$8),1)*(C22*173.3333)*1.7*2+60975+CEILING(25*(1+$D$8),1)*300*$D$10)-(CEILING(25*(1+$D$9),1)*12*1085+CEILING(25*(1+$D$9),1)*1450*2+1200)-39246-(CEILING(25*(1+$D$9),1)*48))*0.79,((81900*$D$7+807750*$D$11*0.04+146140)-(CEILING(25*(1+$D$8),1)*((C22*173.3333)*14*1.2375+1584)+CEILING(25*(1+$D$8),1)*(C22*173.3333)*1.7*2+60975+CEILING(25*(1+$D$8),1)*300*$D$10)-(CEILING(25*(1+$D$9),1)*12*1085+CEILING(25*(1+$D$9),1)*1450*2+1200)-39246-(CEILING(25*(1+$D$9),1)*48)))</f>
        <v>322051.49496194994</v>
      </c>
      <c r="D23" s="21">
        <f>IF(((81900*$D$7+807750*$D$11*0.04+146140)-(CEILING(25*(1+$D$8),1)*((D22*173.3333)*14*1.2375+1584)+CEILING(25*(1+$D$8),1)*(D22*173.3333)*1.7*2+60975+CEILING(25*(1+$D$8),1)*300*$D$10)-(CEILING(25*(1+$D$9),1)*12*1085+CEILING(25*(1+$D$9),1)*1450*2+1200)-39246-(CEILING(25*(1+$D$9),1)*48))&gt;0,((81900*$D$7+807750*$D$11*0.04+146140)-(CEILING(25*(1+$D$8),1)*((D22*173.3333)*14*1.2375+1584)+CEILING(25*(1+$D$8),1)*(D22*173.3333)*1.7*2+60975+CEILING(25*(1+$D$8),1)*300*$D$10)-(CEILING(25*(1+$D$9),1)*12*1085+CEILING(25*(1+$D$9),1)*1450*2+1200)-39246-(CEILING(25*(1+$D$9),1)*48))*0.79,((81900*$D$7+807750*$D$11*0.04+146140)-(CEILING(25*(1+$D$8),1)*((D22*173.3333)*14*1.2375+1584)+CEILING(25*(1+$D$8),1)*(D22*173.3333)*1.7*2+60975+CEILING(25*(1+$D$8),1)*300*$D$10)-(CEILING(25*(1+$D$9),1)*12*1085+CEILING(25*(1+$D$9),1)*1450*2+1200)-39246-(CEILING(25*(1+$D$9),1)*48)))</f>
        <v>239751.15412227495</v>
      </c>
      <c r="E23" s="21">
        <f>IF(((81900*$D$7+807750*$D$11*0.04+146140)-(CEILING(25*(1+$D$8),1)*((E22*173.3333)*14*1.2375+1584)+CEILING(25*(1+$D$8),1)*(E22*173.3333)*1.7*2+60975+CEILING(25*(1+$D$8),1)*300*$D$10)-(CEILING(25*(1+$D$9),1)*12*1085+CEILING(25*(1+$D$9),1)*1450*2+1200)-39246-(CEILING(25*(1+$D$9),1)*48))&gt;0,((81900*$D$7+807750*$D$11*0.04+146140)-(CEILING(25*(1+$D$8),1)*((E22*173.3333)*14*1.2375+1584)+CEILING(25*(1+$D$8),1)*(E22*173.3333)*1.7*2+60975+CEILING(25*(1+$D$8),1)*300*$D$10)-(CEILING(25*(1+$D$9),1)*12*1085+CEILING(25*(1+$D$9),1)*1450*2+1200)-39246-(CEILING(25*(1+$D$9),1)*48))*0.79,((81900*$D$7+807750*$D$11*0.04+146140)-(CEILING(25*(1+$D$8),1)*((E22*173.3333)*14*1.2375+1584)+CEILING(25*(1+$D$8),1)*(E22*173.3333)*1.7*2+60975+CEILING(25*(1+$D$8),1)*300*$D$10)-(CEILING(25*(1+$D$9),1)*12*1085+CEILING(25*(1+$D$9),1)*1450*2+1200)-39246-(CEILING(25*(1+$D$9),1)*48)))</f>
        <v>157450.81328260005</v>
      </c>
      <c r="F23" s="21">
        <f>IF(((81900*$D$7+807750*$D$11*0.04+146140)-(CEILING(25*(1+$D$8),1)*((F22*173.3333)*14*1.2375+1584)+CEILING(25*(1+$D$8),1)*(F22*173.3333)*1.7*2+60975+CEILING(25*(1+$D$8),1)*300*$D$10)-(CEILING(25*(1+$D$9),1)*12*1085+CEILING(25*(1+$D$9),1)*1450*2+1200)-39246-(CEILING(25*(1+$D$9),1)*48))&gt;0,((81900*$D$7+807750*$D$11*0.04+146140)-(CEILING(25*(1+$D$8),1)*((F22*173.3333)*14*1.2375+1584)+CEILING(25*(1+$D$8),1)*(F22*173.3333)*1.7*2+60975+CEILING(25*(1+$D$8),1)*300*$D$10)-(CEILING(25*(1+$D$9),1)*12*1085+CEILING(25*(1+$D$9),1)*1450*2+1200)-39246-(CEILING(25*(1+$D$9),1)*48))*0.79,((81900*$D$7+807750*$D$11*0.04+146140)-(CEILING(25*(1+$D$8),1)*((F22*173.3333)*14*1.2375+1584)+CEILING(25*(1+$D$8),1)*(F22*173.3333)*1.7*2+60975+CEILING(25*(1+$D$8),1)*300*$D$10)-(CEILING(25*(1+$D$9),1)*12*1085+CEILING(25*(1+$D$9),1)*1450*2+1200)-39246-(CEILING(25*(1+$D$9),1)*48)))</f>
        <v>75150.472442924962</v>
      </c>
      <c r="G23" s="21">
        <f>IF(((81900*$D$7+807750*$D$11*0.04+146140)-(CEILING(25*(1+$D$8),1)*((G22*173.3333)*14*1.2375+1584)+CEILING(25*(1+$D$8),1)*(G22*173.3333)*1.7*2+60975+CEILING(25*(1+$D$8),1)*300*$D$10)-(CEILING(25*(1+$D$9),1)*12*1085+CEILING(25*(1+$D$9),1)*1450*2+1200)-39246-(CEILING(25*(1+$D$9),1)*48))&gt;0,((81900*$D$7+807750*$D$11*0.04+146140)-(CEILING(25*(1+$D$8),1)*((G22*173.3333)*14*1.2375+1584)+CEILING(25*(1+$D$8),1)*(G22*173.3333)*1.7*2+60975+CEILING(25*(1+$D$8),1)*300*$D$10)-(CEILING(25*(1+$D$9),1)*12*1085+CEILING(25*(1+$D$9),1)*1450*2+1200)-39246-(CEILING(25*(1+$D$9),1)*48))*0.79,((81900*$D$7+807750*$D$11*0.04+146140)-(CEILING(25*(1+$D$8),1)*((G22*173.3333)*14*1.2375+1584)+CEILING(25*(1+$D$8),1)*(G22*173.3333)*1.7*2+60975+CEILING(25*(1+$D$8),1)*300*$D$10)-(CEILING(25*(1+$D$9),1)*12*1085+CEILING(25*(1+$D$9),1)*1450*2+1200)-39246-(CEILING(25*(1+$D$9),1)*48)))</f>
        <v>-9050.4663250001613</v>
      </c>
    </row>
    <row r="24" spans="2:10" x14ac:dyDescent="0.2">
      <c r="B24" s="3" t="s">
        <v>435</v>
      </c>
      <c r="C24" s="33">
        <v>16</v>
      </c>
      <c r="D24" s="33">
        <v>17</v>
      </c>
      <c r="E24" s="33">
        <v>17.899999999999999</v>
      </c>
      <c r="F24" s="33">
        <v>19</v>
      </c>
      <c r="G24" s="33">
        <v>20</v>
      </c>
    </row>
    <row r="25" spans="2:10" x14ac:dyDescent="0.2">
      <c r="B25" s="2" t="s">
        <v>434</v>
      </c>
      <c r="C25" s="21">
        <f>IF(((81900*C24+807750*$D$11*0.04+146140)-(CEILING(25*(1+$D$8),1)*(($D$6*173.3333)*14*1.2375+1584)+CEILING(25*(1+$D$8),1)*($D$6*173.3333)*1.7*2+60975+CEILING(25*(1+$D$8),1)*300*$D$10)-(CEILING(25*(1+$D$9),1)*12*1085+CEILING(25*(1+$D$9),1)*1450*2+1200)-39246-(CEILING(25*(1+$D$9),1)*48))&gt;0,((81900*C24+807750*$D$11*0.04+146140)-(CEILING(25*(1+$D$8),1)*(($D$6*173.3333)*14*1.2375+1584)+CEILING(25*(1+$D$8),1)*($D$6*173.3333)*1.7*2+60975+CEILING(25*(1+$D$8),1)*300*$D$10)-(CEILING(25*(1+$D$9),1)*12*1085+CEILING(25*(1+$D$9),1)*1450*2+1200)-39246-(CEILING(25*(1+$D$9),1)*48))*0.79,((81900*C24+807750*$D$11*0.04+146140)-(CEILING(25*(1+$D$8),1)*(($D$6*173.3333)*14*1.2375+1584)+CEILING(25*(1+$D$8),1)*($D$6*173.3333)*1.7*2+60975+CEILING(25*(1+$D$8),1)*300*$D$10)-(CEILING(25*(1+$D$9),1)*12*1085+CEILING(25*(1+$D$9),1)*1450*2+1200)-39246-(CEILING(25*(1+$D$9),1)*48)))</f>
        <v>182659.52679401494</v>
      </c>
      <c r="D25" s="21">
        <f>IF(((81900*D24+807750*$D$11*0.04+146140)-(CEILING(25*(1+$D$8),1)*(($D$6*173.3333)*14*1.2375+1584)+CEILING(25*(1+$D$8),1)*($D$6*173.3333)*1.7*2+60975+CEILING(25*(1+$D$8),1)*300*$D$10)-(CEILING(25*(1+$D$9),1)*12*1085+CEILING(25*(1+$D$9),1)*1450*2+1200)-39246-(CEILING(25*(1+$D$9),1)*48))&gt;0,((81900*D24+807750*$D$11*0.04+146140)-(CEILING(25*(1+$D$8),1)*(($D$6*173.3333)*14*1.2375+1584)+CEILING(25*(1+$D$8),1)*($D$6*173.3333)*1.7*2+60975+CEILING(25*(1+$D$8),1)*300*$D$10)-(CEILING(25*(1+$D$9),1)*12*1085+CEILING(25*(1+$D$9),1)*1450*2+1200)-39246-(CEILING(25*(1+$D$9),1)*48))*0.79,((81900*D24+807750*$D$11*0.04+146140)-(CEILING(25*(1+$D$8),1)*(($D$6*173.3333)*14*1.2375+1584)+CEILING(25*(1+$D$8),1)*($D$6*173.3333)*1.7*2+60975+CEILING(25*(1+$D$8),1)*300*$D$10)-(CEILING(25*(1+$D$9),1)*12*1085+CEILING(25*(1+$D$9),1)*1450*2+1200)-39246-(CEILING(25*(1+$D$9),1)*48)))</f>
        <v>247360.52679401494</v>
      </c>
      <c r="E25" s="21">
        <f>IF(((81900*E24+807750*$D$11*0.04+146140)-(CEILING(25*(1+$D$8),1)*(($D$6*173.3333)*14*1.2375+1584)+CEILING(25*(1+$D$8),1)*($D$6*173.3333)*1.7*2+60975+CEILING(25*(1+$D$8),1)*300*$D$10)-(CEILING(25*(1+$D$9),1)*12*1085+CEILING(25*(1+$D$9),1)*1450*2+1200)-39246-(CEILING(25*(1+$D$9),1)*48))&gt;0,((81900*E24+807750*$D$11*0.04+146140)-(CEILING(25*(1+$D$8),1)*(($D$6*173.3333)*14*1.2375+1584)+CEILING(25*(1+$D$8),1)*($D$6*173.3333)*1.7*2+60975+CEILING(25*(1+$D$8),1)*300*$D$10)-(CEILING(25*(1+$D$9),1)*12*1085+CEILING(25*(1+$D$9),1)*1450*2+1200)-39246-(CEILING(25*(1+$D$9),1)*48))*0.79,((81900*E24+807750*$D$11*0.04+146140)-(CEILING(25*(1+$D$8),1)*(($D$6*173.3333)*14*1.2375+1584)+CEILING(25*(1+$D$8),1)*($D$6*173.3333)*1.7*2+60975+CEILING(25*(1+$D$8),1)*300*$D$10)-(CEILING(25*(1+$D$9),1)*12*1085+CEILING(25*(1+$D$9),1)*1450*2+1200)-39246-(CEILING(25*(1+$D$9),1)*48)))</f>
        <v>305591.42679401493</v>
      </c>
      <c r="F25" s="21">
        <f>IF(((81900*F24+807750*$D$11*0.04+146140)-(CEILING(25*(1+$D$8),1)*(($D$6*173.3333)*14*1.2375+1584)+CEILING(25*(1+$D$8),1)*($D$6*173.3333)*1.7*2+60975+CEILING(25*(1+$D$8),1)*300*$D$10)-(CEILING(25*(1+$D$9),1)*12*1085+CEILING(25*(1+$D$9),1)*1450*2+1200)-39246-(CEILING(25*(1+$D$9),1)*48))&gt;0,((81900*F24+807750*$D$11*0.04+146140)-(CEILING(25*(1+$D$8),1)*(($D$6*173.3333)*14*1.2375+1584)+CEILING(25*(1+$D$8),1)*($D$6*173.3333)*1.7*2+60975+CEILING(25*(1+$D$8),1)*300*$D$10)-(CEILING(25*(1+$D$9),1)*12*1085+CEILING(25*(1+$D$9),1)*1450*2+1200)-39246-(CEILING(25*(1+$D$9),1)*48))*0.79,((81900*F24+807750*$D$11*0.04+146140)-(CEILING(25*(1+$D$8),1)*(($D$6*173.3333)*14*1.2375+1584)+CEILING(25*(1+$D$8),1)*($D$6*173.3333)*1.7*2+60975+CEILING(25*(1+$D$8),1)*300*$D$10)-(CEILING(25*(1+$D$9),1)*12*1085+CEILING(25*(1+$D$9),1)*1450*2+1200)-39246-(CEILING(25*(1+$D$9),1)*48)))</f>
        <v>376762.52679401496</v>
      </c>
      <c r="G25" s="21">
        <f>IF(((81900*G24+807750*$D$11*0.04+146140)-(CEILING(25*(1+$D$8),1)*(($D$6*173.3333)*14*1.2375+1584)+CEILING(25*(1+$D$8),1)*($D$6*173.3333)*1.7*2+60975+CEILING(25*(1+$D$8),1)*300*$D$10)-(CEILING(25*(1+$D$9),1)*12*1085+CEILING(25*(1+$D$9),1)*1450*2+1200)-39246-(CEILING(25*(1+$D$9),1)*48))&gt;0,((81900*G24+807750*$D$11*0.04+146140)-(CEILING(25*(1+$D$8),1)*(($D$6*173.3333)*14*1.2375+1584)+CEILING(25*(1+$D$8),1)*($D$6*173.3333)*1.7*2+60975+CEILING(25*(1+$D$8),1)*300*$D$10)-(CEILING(25*(1+$D$9),1)*12*1085+CEILING(25*(1+$D$9),1)*1450*2+1200)-39246-(CEILING(25*(1+$D$9),1)*48))*0.79,((81900*G24+807750*$D$11*0.04+146140)-(CEILING(25*(1+$D$8),1)*(($D$6*173.3333)*14*1.2375+1584)+CEILING(25*(1+$D$8),1)*($D$6*173.3333)*1.7*2+60975+CEILING(25*(1+$D$8),1)*300*$D$10)-(CEILING(25*(1+$D$9),1)*12*1085+CEILING(25*(1+$D$9),1)*1450*2+1200)-39246-(CEILING(25*(1+$D$9),1)*48)))</f>
        <v>441463.52679401496</v>
      </c>
    </row>
    <row r="26" spans="2:10" x14ac:dyDescent="0.2">
      <c r="B26" s="3" t="s">
        <v>436</v>
      </c>
      <c r="C26" s="34">
        <v>0.1</v>
      </c>
      <c r="D26" s="34">
        <v>0.15</v>
      </c>
      <c r="E26" s="34">
        <v>0.2</v>
      </c>
      <c r="F26" s="34">
        <v>0.25</v>
      </c>
      <c r="G26" s="34">
        <v>0.3</v>
      </c>
    </row>
    <row r="27" spans="2:10" x14ac:dyDescent="0.2">
      <c r="B27" s="2" t="s">
        <v>434</v>
      </c>
      <c r="C27" s="21">
        <f>IF(((81900*$D$7+807750*$D$11*0.04+146140)-(CEILING(25*(1+C26),1)*(($D$6*173.3333)*14*1.2375+1584)+CEILING(25*(1+C26),1)*($D$6*173.3333)*1.7*2+60975+CEILING(25*(1+C26),1)*300*$D$10)-(CEILING(25*(1+$D$9),1)*12*1085+CEILING(25*(1+$D$9),1)*1450*2+1200)-39246-(CEILING(25*(1+$D$9),1)*48))&gt;0,((81900*$D$7+807750*$D$11*0.04+146140)-(CEILING(25*(1+C26),1)*(($D$6*173.3333)*14*1.2375+1584)+CEILING(25*(1+C26),1)*($D$6*173.3333)*1.7*2+60975+CEILING(25*(1+C26),1)*300*$D$10)-(CEILING(25*(1+$D$9),1)*12*1085+CEILING(25*(1+$D$9),1)*1450*2+1200)-39246-(CEILING(25*(1+$D$9),1)*48))*0.79,((81900*$D$7+807750*$D$11*0.04+146140)-(CEILING(25*(1+C26),1)*(($D$6*173.3333)*14*1.2375+1584)+CEILING(25*(1+C26),1)*($D$6*173.3333)*1.7*2+60975+CEILING(25*(1+C26),1)*300*$D$10)-(CEILING(25*(1+$D$9),1)*12*1085+CEILING(25*(1+$D$9),1)*1450*2+1200)-39246-(CEILING(25*(1+$D$9),1)*48)))</f>
        <v>324473.58207697998</v>
      </c>
      <c r="D27" s="21">
        <f>IF(((81900*$D$7+807750*$D$11*0.04+146140)-(CEILING(25*(1+D26),1)*(($D$6*173.3333)*14*1.2375+1584)+CEILING(25*(1+D26),1)*($D$6*173.3333)*1.7*2+60975+CEILING(25*(1+D26),1)*300*$D$10)-(CEILING(25*(1+$D$9),1)*12*1085+CEILING(25*(1+$D$9),1)*1450*2+1200)-39246-(CEILING(25*(1+$D$9),1)*48))&gt;0,((81900*$D$7+807750*$D$11*0.04+146140)-(CEILING(25*(1+D26),1)*(($D$6*173.3333)*14*1.2375+1584)+CEILING(25*(1+D26),1)*($D$6*173.3333)*1.7*2+60975+CEILING(25*(1+D26),1)*300*$D$10)-(CEILING(25*(1+$D$9),1)*12*1085+CEILING(25*(1+$D$9),1)*1450*2+1200)-39246-(CEILING(25*(1+$D$9),1)*48))*0.79,((81900*$D$7+807750*$D$11*0.04+146140)-(CEILING(25*(1+D26),1)*(($D$6*173.3333)*14*1.2375+1584)+CEILING(25*(1+D26),1)*($D$6*173.3333)*1.7*2+60975+CEILING(25*(1+D26),1)*300*$D$10)-(CEILING(25*(1+$D$9),1)*12*1085+CEILING(25*(1+$D$9),1)*1450*2+1200)-39246-(CEILING(25*(1+$D$9),1)*48)))</f>
        <v>305591.42679401493</v>
      </c>
      <c r="E27" s="21">
        <f>IF(((81900*$D$7+807750*$D$11*0.04+146140)-(CEILING(25*(1+E26),1)*(($D$6*173.3333)*14*1.2375+1584)+CEILING(25*(1+E26),1)*($D$6*173.3333)*1.7*2+60975+CEILING(25*(1+E26),1)*300*$D$10)-(CEILING(25*(1+$D$9),1)*12*1085+CEILING(25*(1+$D$9),1)*1450*2+1200)-39246-(CEILING(25*(1+$D$9),1)*48))&gt;0,((81900*$D$7+807750*$D$11*0.04+146140)-(CEILING(25*(1+E26),1)*(($D$6*173.3333)*14*1.2375+1584)+CEILING(25*(1+E26),1)*($D$6*173.3333)*1.7*2+60975+CEILING(25*(1+E26),1)*300*$D$10)-(CEILING(25*(1+$D$9),1)*12*1085+CEILING(25*(1+$D$9),1)*1450*2+1200)-39246-(CEILING(25*(1+$D$9),1)*48))*0.79,((81900*$D$7+807750*$D$11*0.04+146140)-(CEILING(25*(1+E26),1)*(($D$6*173.3333)*14*1.2375+1584)+CEILING(25*(1+E26),1)*($D$6*173.3333)*1.7*2+60975+CEILING(25*(1+E26),1)*300*$D$10)-(CEILING(25*(1+$D$9),1)*12*1085+CEILING(25*(1+$D$9),1)*1450*2+1200)-39246-(CEILING(25*(1+$D$9),1)*48)))</f>
        <v>286709.27151105</v>
      </c>
      <c r="F27" s="21">
        <f>IF(((81900*$D$7+807750*$D$11*0.04+146140)-(CEILING(25*(1+F26),1)*(($D$6*173.3333)*14*1.2375+1584)+CEILING(25*(1+F26),1)*($D$6*173.3333)*1.7*2+60975+CEILING(25*(1+F26),1)*300*$D$10)-(CEILING(25*(1+$D$9),1)*12*1085+CEILING(25*(1+$D$9),1)*1450*2+1200)-39246-(CEILING(25*(1+$D$9),1)*48))&gt;0,((81900*$D$7+807750*$D$11*0.04+146140)-(CEILING(25*(1+F26),1)*(($D$6*173.3333)*14*1.2375+1584)+CEILING(25*(1+F26),1)*($D$6*173.3333)*1.7*2+60975+CEILING(25*(1+F26),1)*300*$D$10)-(CEILING(25*(1+$D$9),1)*12*1085+CEILING(25*(1+$D$9),1)*1450*2+1200)-39246-(CEILING(25*(1+$D$9),1)*48))*0.79,((81900*$D$7+807750*$D$11*0.04+146140)-(CEILING(25*(1+F26),1)*(($D$6*173.3333)*14*1.2375+1584)+CEILING(25*(1+F26),1)*($D$6*173.3333)*1.7*2+60975+CEILING(25*(1+F26),1)*300*$D$10)-(CEILING(25*(1+$D$9),1)*12*1085+CEILING(25*(1+$D$9),1)*1450*2+1200)-39246-(CEILING(25*(1+$D$9),1)*48)))</f>
        <v>248944.96094511996</v>
      </c>
      <c r="G27" s="21">
        <f>IF(((81900*$D$7+807750*$D$11*0.04+146140)-(CEILING(25*(1+G26),1)*(($D$6*173.3333)*14*1.2375+1584)+CEILING(25*(1+G26),1)*($D$6*173.3333)*1.7*2+60975+CEILING(25*(1+G26),1)*300*$D$10)-(CEILING(25*(1+$D$9),1)*12*1085+CEILING(25*(1+$D$9),1)*1450*2+1200)-39246-(CEILING(25*(1+$D$9),1)*48))&gt;0,((81900*$D$7+807750*$D$11*0.04+146140)-(CEILING(25*(1+G26),1)*(($D$6*173.3333)*14*1.2375+1584)+CEILING(25*(1+G26),1)*($D$6*173.3333)*1.7*2+60975+CEILING(25*(1+G26),1)*300*$D$10)-(CEILING(25*(1+$D$9),1)*12*1085+CEILING(25*(1+$D$9),1)*1450*2+1200)-39246-(CEILING(25*(1+$D$9),1)*48))*0.79,((81900*$D$7+807750*$D$11*0.04+146140)-(CEILING(25*(1+G26),1)*(($D$6*173.3333)*14*1.2375+1584)+CEILING(25*(1+G26),1)*($D$6*173.3333)*1.7*2+60975+CEILING(25*(1+G26),1)*300*$D$10)-(CEILING(25*(1+$D$9),1)*12*1085+CEILING(25*(1+$D$9),1)*1450*2+1200)-39246-(CEILING(25*(1+$D$9),1)*48)))</f>
        <v>230062.80566215501</v>
      </c>
    </row>
    <row r="28" spans="2:10" ht="24" x14ac:dyDescent="0.3">
      <c r="B28" s="3" t="s">
        <v>437</v>
      </c>
      <c r="C28" s="34">
        <v>0.05</v>
      </c>
      <c r="D28" s="34">
        <v>0.1</v>
      </c>
      <c r="E28" s="34">
        <v>0.15</v>
      </c>
      <c r="F28" s="34">
        <v>0.2</v>
      </c>
      <c r="G28" s="34">
        <v>0.25</v>
      </c>
      <c r="J28" s="54" t="s">
        <v>498</v>
      </c>
    </row>
    <row r="29" spans="2:10" x14ac:dyDescent="0.2">
      <c r="B29" s="2" t="s">
        <v>434</v>
      </c>
      <c r="C29" s="21">
        <f>IF(((81900*$D$7+807750*$D$11*0.04+146140)-(CEILING(25*(1+$D$8),1)*(($D$6*173.3333)*14*1.2375+1584)+CEILING(25*(1+$D$8),1)*($D$6*173.3333)*1.7*2+60975+CEILING(25*(1+$D$8),1)*300*$D$10)-(CEILING(25*(1+C28),1)*12*1085+CEILING(25*(1+C28),1)*1450*2+1200)-39246-(CEILING(25*(1+C28),1)*48))&gt;0,((81900*$D$7+807750*$D$11*0.04+146140)-(CEILING(25*(1+$D$8),1)*(($D$6*173.3333)*14*1.2375+1584)+CEILING(25*(1+$D$8),1)*($D$6*173.3333)*1.7*2+60975+CEILING(25*(1+$D$8),1)*300*$D$10)-(CEILING(25*(1+C28),1)*12*1085+CEILING(25*(1+C28),1)*1450*2+1200)-39246-(CEILING(25*(1+C28),1)*48))*0.79,((81900*$D$7+807750*$D$11*0.04+146140)-(CEILING(25*(1+$D$8),1)*(($D$6*173.3333)*14*1.2375+1584)+CEILING(25*(1+$D$8),1)*($D$6*173.3333)*1.7*2+60975+CEILING(25*(1+$D$8),1)*300*$D$10)-(CEILING(25*(1+C28),1)*12*1085+CEILING(25*(1+C28),1)*1450*2+1200)-39246-(CEILING(25*(1+C28),1)*48)))</f>
        <v>330820.86679401493</v>
      </c>
      <c r="D29" s="21">
        <f>IF(((81900*$D$7+807750*$D$11*0.04+146140)-(CEILING(25*(1+$D$8),1)*(($D$6*173.3333)*14*1.2375+1584)+CEILING(25*(1+$D$8),1)*($D$6*173.3333)*1.7*2+60975+CEILING(25*(1+$D$8),1)*300*$D$10)-(CEILING(25*(1+D28),1)*12*1085+CEILING(25*(1+D28),1)*1450*2+1200)-39246-(CEILING(25*(1+D28),1)*48))&gt;0,((81900*$D$7+807750*$D$11*0.04+146140)-(CEILING(25*(1+$D$8),1)*(($D$6*173.3333)*14*1.2375+1584)+CEILING(25*(1+$D$8),1)*($D$6*173.3333)*1.7*2+60975+CEILING(25*(1+$D$8),1)*300*$D$10)-(CEILING(25*(1+D28),1)*12*1085+CEILING(25*(1+D28),1)*1450*2+1200)-39246-(CEILING(25*(1+D28),1)*48))*0.79,((81900*$D$7+807750*$D$11*0.04+146140)-(CEILING(25*(1+$D$8),1)*(($D$6*173.3333)*14*1.2375+1584)+CEILING(25*(1+$D$8),1)*($D$6*173.3333)*1.7*2+60975+CEILING(25*(1+$D$8),1)*300*$D$10)-(CEILING(25*(1+D28),1)*12*1085+CEILING(25*(1+D28),1)*1450*2+1200)-39246-(CEILING(25*(1+D28),1)*48)))</f>
        <v>318206.14679401496</v>
      </c>
      <c r="E29" s="21">
        <f>IF(((81900*$D$7+807750*$D$11*0.04+146140)-(CEILING(25*(1+$D$8),1)*(($D$6*173.3333)*14*1.2375+1584)+CEILING(25*(1+$D$8),1)*($D$6*173.3333)*1.7*2+60975+CEILING(25*(1+$D$8),1)*300*$D$10)-(CEILING(25*(1+E28),1)*12*1085+CEILING(25*(1+E28),1)*1450*2+1200)-39246-(CEILING(25*(1+E28),1)*48))&gt;0,((81900*$D$7+807750*$D$11*0.04+146140)-(CEILING(25*(1+$D$8),1)*(($D$6*173.3333)*14*1.2375+1584)+CEILING(25*(1+$D$8),1)*($D$6*173.3333)*1.7*2+60975+CEILING(25*(1+$D$8),1)*300*$D$10)-(CEILING(25*(1+E28),1)*12*1085+CEILING(25*(1+E28),1)*1450*2+1200)-39246-(CEILING(25*(1+E28),1)*48))*0.79,((81900*$D$7+807750*$D$11*0.04+146140)-(CEILING(25*(1+$D$8),1)*(($D$6*173.3333)*14*1.2375+1584)+CEILING(25*(1+$D$8),1)*($D$6*173.3333)*1.7*2+60975+CEILING(25*(1+$D$8),1)*300*$D$10)-(CEILING(25*(1+E28),1)*12*1085+CEILING(25*(1+E28),1)*1450*2+1200)-39246-(CEILING(25*(1+E28),1)*48)))</f>
        <v>305591.42679401493</v>
      </c>
      <c r="F29" s="21">
        <f>IF(((81900*$D$7+807750*$D$11*0.04+146140)-(CEILING(25*(1+$D$8),1)*(($D$6*173.3333)*14*1.2375+1584)+CEILING(25*(1+$D$8),1)*($D$6*173.3333)*1.7*2+60975+CEILING(25*(1+$D$8),1)*300*$D$10)-(CEILING(25*(1+F28),1)*12*1085+CEILING(25*(1+F28),1)*1450*2+1200)-39246-(CEILING(25*(1+F28),1)*48))&gt;0,((81900*$D$7+807750*$D$11*0.04+146140)-(CEILING(25*(1+$D$8),1)*(($D$6*173.3333)*14*1.2375+1584)+CEILING(25*(1+$D$8),1)*($D$6*173.3333)*1.7*2+60975+CEILING(25*(1+$D$8),1)*300*$D$10)-(CEILING(25*(1+F28),1)*12*1085+CEILING(25*(1+F28),1)*1450*2+1200)-39246-(CEILING(25*(1+F28),1)*48))*0.79,((81900*$D$7+807750*$D$11*0.04+146140)-(CEILING(25*(1+$D$8),1)*(($D$6*173.3333)*14*1.2375+1584)+CEILING(25*(1+$D$8),1)*($D$6*173.3333)*1.7*2+60975+CEILING(25*(1+$D$8),1)*300*$D$10)-(CEILING(25*(1+F28),1)*12*1085+CEILING(25*(1+F28),1)*1450*2+1200)-39246-(CEILING(25*(1+F28),1)*48)))</f>
        <v>292976.70679401496</v>
      </c>
      <c r="G29" s="21">
        <f>IF(((81900*$D$7+807750*$D$11*0.04+146140)-(CEILING(25*(1+$D$8),1)*(($D$6*173.3333)*14*1.2375+1584)+CEILING(25*(1+$D$8),1)*($D$6*173.3333)*1.7*2+60975+CEILING(25*(1+$D$8),1)*300*$D$10)-(CEILING(25*(1+G28),1)*12*1085+CEILING(25*(1+G28),1)*1450*2+1200)-39246-(CEILING(25*(1+G28),1)*48))&gt;0,((81900*$D$7+807750*$D$11*0.04+146140)-(CEILING(25*(1+$D$8),1)*(($D$6*173.3333)*14*1.2375+1584)+CEILING(25*(1+$D$8),1)*($D$6*173.3333)*1.7*2+60975+CEILING(25*(1+$D$8),1)*300*$D$10)-(CEILING(25*(1+G28),1)*12*1085+CEILING(25*(1+G28),1)*1450*2+1200)-39246-(CEILING(25*(1+G28),1)*48))*0.79,((81900*$D$7+807750*$D$11*0.04+146140)-(CEILING(25*(1+$D$8),1)*(($D$6*173.3333)*14*1.2375+1584)+CEILING(25*(1+$D$8),1)*($D$6*173.3333)*1.7*2+60975+CEILING(25*(1+$D$8),1)*300*$D$10)-(CEILING(25*(1+G28),1)*12*1085+CEILING(25*(1+G28),1)*1450*2+1200)-39246-(CEILING(25*(1+G28),1)*48)))</f>
        <v>267747.26679401495</v>
      </c>
    </row>
    <row r="30" spans="2:10" x14ac:dyDescent="0.2">
      <c r="B30" s="3" t="s">
        <v>438</v>
      </c>
      <c r="C30" s="34">
        <v>0.1</v>
      </c>
      <c r="D30" s="34">
        <v>0.15</v>
      </c>
      <c r="E30" s="34">
        <v>0.2</v>
      </c>
      <c r="F30" s="34">
        <v>0.25</v>
      </c>
      <c r="G30" s="34">
        <v>0.3</v>
      </c>
    </row>
    <row r="31" spans="2:10" x14ac:dyDescent="0.2">
      <c r="B31" s="2" t="s">
        <v>434</v>
      </c>
      <c r="C31" s="21">
        <f>IF(((81900*$D$7+807750*$D$11*0.04+146140)-(CEILING(25*(1+$D$8),1)*(($D$6*173.3333)*14*1.2375+1584)+CEILING(25*(1+$D$8),1)*($D$6*173.3333)*1.7*2+60975+CEILING(25*(1+$D$8),1)*300*C30)-(CEILING(25*(1+$D$9),1)*12*1085+CEILING(25*(1+$D$9),1)*1450*2+1200)-39246-(CEILING(25*(1+$D$9),1)*48))&gt;0,((81900*$D$7+807750*$D$11*0.04+146140)-(CEILING(25*(1+$D$8),1)*(($D$6*173.3333)*14*1.2375+1584)+CEILING(25*(1+$D$8),1)*($D$6*173.3333)*1.7*2+60975+CEILING(25*(1+$D$8),1)*300*C30)-(CEILING(25*(1+$D$9),1)*12*1085+CEILING(25*(1+$D$9),1)*1450*2+1200)-39246-(CEILING(25*(1+$D$9),1)*48))*0.79,((81900*$D$7+807750*$D$11*0.04+146140)-(CEILING(25*(1+$D$8),1)*(($D$6*173.3333)*14*1.2375+1584)+CEILING(25*(1+$D$8),1)*($D$6*173.3333)*1.7*2+60975+CEILING(25*(1+$D$8),1)*300*C30)-(CEILING(25*(1+$D$9),1)*12*1085+CEILING(25*(1+$D$9),1)*1450*2+1200)-39246-(CEILING(25*(1+$D$9),1)*48)))</f>
        <v>305935.07679401495</v>
      </c>
      <c r="D31" s="21">
        <f>IF(((81900*$D$7+807750*$D$11*0.04+146140)-(CEILING(25*(1+$D$8),1)*(($D$6*173.3333)*14*1.2375+1584)+CEILING(25*(1+$D$8),1)*($D$6*173.3333)*1.7*2+60975+CEILING(25*(1+$D$8),1)*300*D30)-(CEILING(25*(1+$D$9),1)*12*1085+CEILING(25*(1+$D$9),1)*1450*2+1200)-39246-(CEILING(25*(1+$D$9),1)*48))&gt;0,((81900*$D$7+807750*$D$11*0.04+146140)-(CEILING(25*(1+$D$8),1)*(($D$6*173.3333)*14*1.2375+1584)+CEILING(25*(1+$D$8),1)*($D$6*173.3333)*1.7*2+60975+CEILING(25*(1+$D$8),1)*300*D30)-(CEILING(25*(1+$D$9),1)*12*1085+CEILING(25*(1+$D$9),1)*1450*2+1200)-39246-(CEILING(25*(1+$D$9),1)*48))*0.79,((81900*$D$7+807750*$D$11*0.04+146140)-(CEILING(25*(1+$D$8),1)*(($D$6*173.3333)*14*1.2375+1584)+CEILING(25*(1+$D$8),1)*($D$6*173.3333)*1.7*2+60975+CEILING(25*(1+$D$8),1)*300*D30)-(CEILING(25*(1+$D$9),1)*12*1085+CEILING(25*(1+$D$9),1)*1450*2+1200)-39246-(CEILING(25*(1+$D$9),1)*48)))</f>
        <v>305591.42679401493</v>
      </c>
      <c r="E31" s="21">
        <f>IF(((81900*$D$7+807750*$D$11*0.04+146140)-(CEILING(25*(1+$D$8),1)*(($D$6*173.3333)*14*1.2375+1584)+CEILING(25*(1+$D$8),1)*($D$6*173.3333)*1.7*2+60975+CEILING(25*(1+$D$8),1)*300*E30)-(CEILING(25*(1+$D$9),1)*12*1085+CEILING(25*(1+$D$9),1)*1450*2+1200)-39246-(CEILING(25*(1+$D$9),1)*48))&gt;0,((81900*$D$7+807750*$D$11*0.04+146140)-(CEILING(25*(1+$D$8),1)*(($D$6*173.3333)*14*1.2375+1584)+CEILING(25*(1+$D$8),1)*($D$6*173.3333)*1.7*2+60975+CEILING(25*(1+$D$8),1)*300*E30)-(CEILING(25*(1+$D$9),1)*12*1085+CEILING(25*(1+$D$9),1)*1450*2+1200)-39246-(CEILING(25*(1+$D$9),1)*48))*0.79,((81900*$D$7+807750*$D$11*0.04+146140)-(CEILING(25*(1+$D$8),1)*(($D$6*173.3333)*14*1.2375+1584)+CEILING(25*(1+$D$8),1)*($D$6*173.3333)*1.7*2+60975+CEILING(25*(1+$D$8),1)*300*E30)-(CEILING(25*(1+$D$9),1)*12*1085+CEILING(25*(1+$D$9),1)*1450*2+1200)-39246-(CEILING(25*(1+$D$9),1)*48)))</f>
        <v>305247.77679401496</v>
      </c>
      <c r="F31" s="21">
        <f>IF(((81900*$D$7+807750*$D$11*0.04+146140)-(CEILING(25*(1+$D$8),1)*(($D$6*173.3333)*14*1.2375+1584)+CEILING(25*(1+$D$8),1)*($D$6*173.3333)*1.7*2+60975+CEILING(25*(1+$D$8),1)*300*F30)-(CEILING(25*(1+$D$9),1)*12*1085+CEILING(25*(1+$D$9),1)*1450*2+1200)-39246-(CEILING(25*(1+$D$9),1)*48))&gt;0,((81900*$D$7+807750*$D$11*0.04+146140)-(CEILING(25*(1+$D$8),1)*(($D$6*173.3333)*14*1.2375+1584)+CEILING(25*(1+$D$8),1)*($D$6*173.3333)*1.7*2+60975+CEILING(25*(1+$D$8),1)*300*F30)-(CEILING(25*(1+$D$9),1)*12*1085+CEILING(25*(1+$D$9),1)*1450*2+1200)-39246-(CEILING(25*(1+$D$9),1)*48))*0.79,((81900*$D$7+807750*$D$11*0.04+146140)-(CEILING(25*(1+$D$8),1)*(($D$6*173.3333)*14*1.2375+1584)+CEILING(25*(1+$D$8),1)*($D$6*173.3333)*1.7*2+60975+CEILING(25*(1+$D$8),1)*300*F30)-(CEILING(25*(1+$D$9),1)*12*1085+CEILING(25*(1+$D$9),1)*1450*2+1200)-39246-(CEILING(25*(1+$D$9),1)*48)))</f>
        <v>304904.12679401494</v>
      </c>
      <c r="G31" s="21">
        <f>IF(((81900*$D$7+807750*$D$11*0.04+146140)-(CEILING(25*(1+$D$8),1)*(($D$6*173.3333)*14*1.2375+1584)+CEILING(25*(1+$D$8),1)*($D$6*173.3333)*1.7*2+60975+CEILING(25*(1+$D$8),1)*300*G30)-(CEILING(25*(1+$D$9),1)*12*1085+CEILING(25*(1+$D$9),1)*1450*2+1200)-39246-(CEILING(25*(1+$D$9),1)*48))&gt;0,((81900*$D$7+807750*$D$11*0.04+146140)-(CEILING(25*(1+$D$8),1)*(($D$6*173.3333)*14*1.2375+1584)+CEILING(25*(1+$D$8),1)*($D$6*173.3333)*1.7*2+60975+CEILING(25*(1+$D$8),1)*300*G30)-(CEILING(25*(1+$D$9),1)*12*1085+CEILING(25*(1+$D$9),1)*1450*2+1200)-39246-(CEILING(25*(1+$D$9),1)*48))*0.79,((81900*$D$7+807750*$D$11*0.04+146140)-(CEILING(25*(1+$D$8),1)*(($D$6*173.3333)*14*1.2375+1584)+CEILING(25*(1+$D$8),1)*($D$6*173.3333)*1.7*2+60975+CEILING(25*(1+$D$8),1)*300*G30)-(CEILING(25*(1+$D$9),1)*12*1085+CEILING(25*(1+$D$9),1)*1450*2+1200)-39246-(CEILING(25*(1+$D$9),1)*48)))</f>
        <v>304560.47679401492</v>
      </c>
    </row>
    <row r="32" spans="2:10" x14ac:dyDescent="0.2">
      <c r="B32" s="3" t="s">
        <v>439</v>
      </c>
      <c r="C32" s="34">
        <v>0.85</v>
      </c>
      <c r="D32" s="34">
        <v>0.95</v>
      </c>
      <c r="E32" s="34">
        <v>1</v>
      </c>
      <c r="F32" s="34">
        <v>1.05</v>
      </c>
      <c r="G32" s="34">
        <v>1.1499999999999999</v>
      </c>
    </row>
    <row r="33" spans="2:7" x14ac:dyDescent="0.2">
      <c r="B33" s="2" t="s">
        <v>434</v>
      </c>
      <c r="C33" s="21">
        <f>IF(((81900*$D$7+807750*C32*0.04+146140)-(CEILING(25*(1+$D$8),1)*(($D$6*173.3333)*14*1.2375+1584)+CEILING(25*(1+$D$8),1)*($D$6*173.3333)*1.7*2+60975+CEILING(25*(1+$D$8),1)*300*$D$10)-(CEILING(25*(1+$D$9),1)*12*1085+CEILING(25*(1+$D$9),1)*1450*2+1200)-39246-(CEILING(25*(1+$D$9),1)*48))&gt;0,((81900*$D$7+807750*C32*0.04+146140)-(CEILING(25*(1+$D$8),1)*(($D$6*173.3333)*14*1.2375+1584)+CEILING(25*(1+$D$8),1)*($D$6*173.3333)*1.7*2+60975+CEILING(25*(1+$D$8),1)*300*$D$10)-(CEILING(25*(1+$D$9),1)*12*1085+CEILING(25*(1+$D$9),1)*1450*2+1200)-39246-(CEILING(25*(1+$D$9),1)*48))*0.79,((81900*$D$7+807750*C32*0.04+146140)-(CEILING(25*(1+$D$8),1)*(($D$6*173.3333)*14*1.2375+1584)+CEILING(25*(1+$D$8),1)*($D$6*173.3333)*1.7*2+60975+CEILING(25*(1+$D$8),1)*300*$D$10)-(CEILING(25*(1+$D$9),1)*12*1085+CEILING(25*(1+$D$9),1)*1450*2+1200)-39246-(CEILING(25*(1+$D$9),1)*48)))</f>
        <v>301762.69179401494</v>
      </c>
      <c r="D33" s="21">
        <f>IF(((81900*$D$7+807750*D32*0.04+146140)-(CEILING(25*(1+$D$8),1)*(($D$6*173.3333)*14*1.2375+1584)+CEILING(25*(1+$D$8),1)*($D$6*173.3333)*1.7*2+60975+CEILING(25*(1+$D$8),1)*300*$D$10)-(CEILING(25*(1+$D$9),1)*12*1085+CEILING(25*(1+$D$9),1)*1450*2+1200)-39246-(CEILING(25*(1+$D$9),1)*48))&gt;0,((81900*$D$7+807750*D32*0.04+146140)-(CEILING(25*(1+$D$8),1)*(($D$6*173.3333)*14*1.2375+1584)+CEILING(25*(1+$D$8),1)*($D$6*173.3333)*1.7*2+60975+CEILING(25*(1+$D$8),1)*300*$D$10)-(CEILING(25*(1+$D$9),1)*12*1085+CEILING(25*(1+$D$9),1)*1450*2+1200)-39246-(CEILING(25*(1+$D$9),1)*48))*0.79,((81900*$D$7+807750*D32*0.04+146140)-(CEILING(25*(1+$D$8),1)*(($D$6*173.3333)*14*1.2375+1584)+CEILING(25*(1+$D$8),1)*($D$6*173.3333)*1.7*2+60975+CEILING(25*(1+$D$8),1)*300*$D$10)-(CEILING(25*(1+$D$9),1)*12*1085+CEILING(25*(1+$D$9),1)*1450*2+1200)-39246-(CEILING(25*(1+$D$9),1)*48)))</f>
        <v>304315.18179401493</v>
      </c>
      <c r="E33" s="21">
        <f>IF(((81900*$D$7+807750*E32*0.04+146140)-(CEILING(25*(1+$D$8),1)*(($D$6*173.3333)*14*1.2375+1584)+CEILING(25*(1+$D$8),1)*($D$6*173.3333)*1.7*2+60975+CEILING(25*(1+$D$8),1)*300*$D$10)-(CEILING(25*(1+$D$9),1)*12*1085+CEILING(25*(1+$D$9),1)*1450*2+1200)-39246-(CEILING(25*(1+$D$9),1)*48))&gt;0,((81900*$D$7+807750*E32*0.04+146140)-(CEILING(25*(1+$D$8),1)*(($D$6*173.3333)*14*1.2375+1584)+CEILING(25*(1+$D$8),1)*($D$6*173.3333)*1.7*2+60975+CEILING(25*(1+$D$8),1)*300*$D$10)-(CEILING(25*(1+$D$9),1)*12*1085+CEILING(25*(1+$D$9),1)*1450*2+1200)-39246-(CEILING(25*(1+$D$9),1)*48))*0.79,((81900*$D$7+807750*E32*0.04+146140)-(CEILING(25*(1+$D$8),1)*(($D$6*173.3333)*14*1.2375+1584)+CEILING(25*(1+$D$8),1)*($D$6*173.3333)*1.7*2+60975+CEILING(25*(1+$D$8),1)*300*$D$10)-(CEILING(25*(1+$D$9),1)*12*1085+CEILING(25*(1+$D$9),1)*1450*2+1200)-39246-(CEILING(25*(1+$D$9),1)*48)))</f>
        <v>305591.42679401493</v>
      </c>
      <c r="F33" s="21">
        <f>IF(((81900*$D$7+807750*F32*0.04+146140)-(CEILING(25*(1+$D$8),1)*(($D$6*173.3333)*14*1.2375+1584)+CEILING(25*(1+$D$8),1)*($D$6*173.3333)*1.7*2+60975+CEILING(25*(1+$D$8),1)*300*$D$10)-(CEILING(25*(1+$D$9),1)*12*1085+CEILING(25*(1+$D$9),1)*1450*2+1200)-39246-(CEILING(25*(1+$D$9),1)*48))&gt;0,((81900*$D$7+807750*F32*0.04+146140)-(CEILING(25*(1+$D$8),1)*(($D$6*173.3333)*14*1.2375+1584)+CEILING(25*(1+$D$8),1)*($D$6*173.3333)*1.7*2+60975+CEILING(25*(1+$D$8),1)*300*$D$10)-(CEILING(25*(1+$D$9),1)*12*1085+CEILING(25*(1+$D$9),1)*1450*2+1200)-39246-(CEILING(25*(1+$D$9),1)*48))*0.79,((81900*$D$7+807750*F32*0.04+146140)-(CEILING(25*(1+$D$8),1)*(($D$6*173.3333)*14*1.2375+1584)+CEILING(25*(1+$D$8),1)*($D$6*173.3333)*1.7*2+60975+CEILING(25*(1+$D$8),1)*300*$D$10)-(CEILING(25*(1+$D$9),1)*12*1085+CEILING(25*(1+$D$9),1)*1450*2+1200)-39246-(CEILING(25*(1+$D$9),1)*48)))</f>
        <v>306867.67179401492</v>
      </c>
      <c r="G33" s="21">
        <f>IF(((81900*$D$7+807750*G32*0.04+146140)-(CEILING(25*(1+$D$8),1)*(($D$6*173.3333)*14*1.2375+1584)+CEILING(25*(1+$D$8),1)*($D$6*173.3333)*1.7*2+60975+CEILING(25*(1+$D$8),1)*300*$D$10)-(CEILING(25*(1+$D$9),1)*12*1085+CEILING(25*(1+$D$9),1)*1450*2+1200)-39246-(CEILING(25*(1+$D$9),1)*48))&gt;0,((81900*$D$7+807750*G32*0.04+146140)-(CEILING(25*(1+$D$8),1)*(($D$6*173.3333)*14*1.2375+1584)+CEILING(25*(1+$D$8),1)*($D$6*173.3333)*1.7*2+60975+CEILING(25*(1+$D$8),1)*300*$D$10)-(CEILING(25*(1+$D$9),1)*12*1085+CEILING(25*(1+$D$9),1)*1450*2+1200)-39246-(CEILING(25*(1+$D$9),1)*48))*0.79,((81900*$D$7+807750*G32*0.04+146140)-(CEILING(25*(1+$D$8),1)*(($D$6*173.3333)*14*1.2375+1584)+CEILING(25*(1+$D$8),1)*($D$6*173.3333)*1.7*2+60975+CEILING(25*(1+$D$8),1)*300*$D$10)-(CEILING(25*(1+$D$9),1)*12*1085+CEILING(25*(1+$D$9),1)*1450*2+1200)-39246-(CEILING(25*(1+$D$9),1)*48)))</f>
        <v>309420.16179401492</v>
      </c>
    </row>
    <row r="35" spans="2:7" x14ac:dyDescent="0.2">
      <c r="B35" s="31" t="s">
        <v>440</v>
      </c>
      <c r="C35" s="20"/>
      <c r="D35" s="20"/>
      <c r="E35" s="20"/>
      <c r="F35" s="20"/>
      <c r="G35" s="20"/>
    </row>
    <row r="36" spans="2:7" x14ac:dyDescent="0.2">
      <c r="B36" s="1" t="s">
        <v>441</v>
      </c>
      <c r="C36" s="35">
        <v>16</v>
      </c>
      <c r="D36" s="35">
        <v>17.899999999999999</v>
      </c>
      <c r="E36" s="35">
        <v>18</v>
      </c>
      <c r="F36" s="35">
        <v>19</v>
      </c>
      <c r="G36" s="35">
        <v>20</v>
      </c>
    </row>
    <row r="37" spans="2:7" x14ac:dyDescent="0.2">
      <c r="B37" s="35">
        <v>6.5</v>
      </c>
      <c r="C37" s="21">
        <f t="shared" ref="C37:G41" si="0">IF(((81900*C$36+807750*$D$11*0.04+146140)-(CEILING(25*(1+$D$8),1)*(($B37*173.3333)*14*1.2375+1584)+CEILING(25*(1+$D$8),1)*($B37*173.3333)*1.7*2+60975+CEILING(25*(1+$D$8),1)*300*$D$10)-(CEILING(25*(1+$D$9),1)*12*1085+CEILING(25*(1+$D$9),1)*1450*2+1200)-39246-(CEILING(25*(1+$D$9),1)*48))&gt;0,((81900*C$36+807750*$D$11*0.04+146140)-(CEILING(25*(1+$D$8),1)*(($B37*173.3333)*14*1.2375+1584)+CEILING(25*(1+$D$8),1)*($B37*173.3333)*1.7*2+60975+CEILING(25*(1+$D$8),1)*300*$D$10)-(CEILING(25*(1+$D$9),1)*12*1085+CEILING(25*(1+$D$9),1)*1450*2+1200)-39246-(CEILING(25*(1+$D$9),1)*48))*0.79,((81900*C$36+807750*$D$11*0.04+146140)-(CEILING(25*(1+$D$8),1)*(($B37*173.3333)*14*1.2375+1584)+CEILING(25*(1+$D$8),1)*($B37*173.3333)*1.7*2+60975+CEILING(25*(1+$D$8),1)*300*$D$10)-(CEILING(25*(1+$D$9),1)*12*1085+CEILING(25*(1+$D$9),1)*1450*2+1200)-39246-(CEILING(25*(1+$D$9),1)*48)))</f>
        <v>157969.42454211245</v>
      </c>
      <c r="D37" s="21">
        <f t="shared" si="0"/>
        <v>280901.32454211247</v>
      </c>
      <c r="E37" s="21">
        <f t="shared" si="0"/>
        <v>287371.42454211245</v>
      </c>
      <c r="F37" s="21">
        <f t="shared" si="0"/>
        <v>352072.42454211245</v>
      </c>
      <c r="G37" s="21">
        <f t="shared" si="0"/>
        <v>416773.42454211245</v>
      </c>
    </row>
    <row r="38" spans="2:7" x14ac:dyDescent="0.2">
      <c r="B38" s="35">
        <v>7.5</v>
      </c>
      <c r="C38" s="21">
        <f t="shared" si="0"/>
        <v>75669.083702437449</v>
      </c>
      <c r="D38" s="21">
        <f t="shared" si="0"/>
        <v>198600.98370243746</v>
      </c>
      <c r="E38" s="21">
        <f t="shared" si="0"/>
        <v>205071.08370243746</v>
      </c>
      <c r="F38" s="21">
        <f t="shared" si="0"/>
        <v>269772.08370243746</v>
      </c>
      <c r="G38" s="21">
        <f t="shared" si="0"/>
        <v>334473.08370243746</v>
      </c>
    </row>
    <row r="39" spans="2:7" x14ac:dyDescent="0.2">
      <c r="B39" s="35">
        <v>8.5</v>
      </c>
      <c r="C39" s="21">
        <f t="shared" si="0"/>
        <v>-8393.9963762500556</v>
      </c>
      <c r="D39" s="21">
        <f t="shared" si="0"/>
        <v>116300.64286276246</v>
      </c>
      <c r="E39" s="21">
        <f t="shared" si="0"/>
        <v>122770.74286276246</v>
      </c>
      <c r="F39" s="21">
        <f t="shared" si="0"/>
        <v>187471.74286276248</v>
      </c>
      <c r="G39" s="21">
        <f t="shared" si="0"/>
        <v>252172.74286276248</v>
      </c>
    </row>
    <row r="40" spans="2:7" x14ac:dyDescent="0.2">
      <c r="B40" s="35">
        <v>9.5</v>
      </c>
      <c r="C40" s="21">
        <f t="shared" si="0"/>
        <v>-112571.64300874993</v>
      </c>
      <c r="D40" s="21">
        <f t="shared" si="0"/>
        <v>34000.302023087555</v>
      </c>
      <c r="E40" s="21">
        <f t="shared" si="0"/>
        <v>40470.402023087554</v>
      </c>
      <c r="F40" s="21">
        <f t="shared" si="0"/>
        <v>105171.40202308756</v>
      </c>
      <c r="G40" s="21">
        <f t="shared" si="0"/>
        <v>169872.40202308758</v>
      </c>
    </row>
    <row r="41" spans="2:7" x14ac:dyDescent="0.2">
      <c r="B41" s="35">
        <v>10.5</v>
      </c>
      <c r="C41" s="21">
        <f t="shared" si="0"/>
        <v>-216749.28964125016</v>
      </c>
      <c r="D41" s="21">
        <f t="shared" si="0"/>
        <v>-61139.289641250158</v>
      </c>
      <c r="E41" s="21">
        <f t="shared" si="0"/>
        <v>-52949.289641250158</v>
      </c>
      <c r="F41" s="21">
        <f t="shared" si="0"/>
        <v>22871.061183412377</v>
      </c>
      <c r="G41" s="21">
        <f t="shared" si="0"/>
        <v>87572.061183412385</v>
      </c>
    </row>
    <row r="43" spans="2:7" x14ac:dyDescent="0.2">
      <c r="B43" s="31" t="s">
        <v>442</v>
      </c>
      <c r="C43" s="20"/>
      <c r="D43" s="20"/>
      <c r="E43" s="20"/>
      <c r="F43" s="20"/>
      <c r="G43" s="20"/>
    </row>
    <row r="44" spans="2:7" x14ac:dyDescent="0.2">
      <c r="B44" s="3" t="s">
        <v>443</v>
      </c>
      <c r="C44" s="36">
        <f>((81900*$D$7+807750*$D$11*0.04+146140)-(CEILING(25*(1+$D$9),1)*12*1085+CEILING(25*(1+$D$9),1)*1450*2+1200)-39246-(CEILING(25*(1+$D$9),1)*48)-(CEILING(25*(1+$D$8),1)*1584+60975+CEILING(25*(1+$D$8),1)*300*$D$10))/(CEILING(25*(1+$D$8),1)*3592.333)</f>
        <v>9.9131236940757841</v>
      </c>
      <c r="D44" s="20"/>
      <c r="E44" s="20"/>
    </row>
    <row r="45" spans="2:7" ht="26" x14ac:dyDescent="0.2">
      <c r="B45" s="3" t="s">
        <v>444</v>
      </c>
      <c r="C45" s="36">
        <f>(((CEILING(25*(1+$D$8),1)*(($D$6*173.3333)*14*1.2375+1584)+CEILING(25*(1+$D$8),1)*($D$6*173.3333)*1.7*2+60975+CEILING(25*(1+$D$8),1)*300*$D$10)+(CEILING(25*(1+$D$9),1)*12*1085+CEILING(25*(1+$D$9),1)*1450*2+1200)+39246+(CEILING(25*(1+$D$9),1)*48))-807750*$D$11*0.04-146140)/81900</f>
        <v>13.176867022240538</v>
      </c>
      <c r="D45" s="20"/>
      <c r="E45" s="20"/>
    </row>
    <row r="47" spans="2:7" x14ac:dyDescent="0.2">
      <c r="B47" s="31" t="s">
        <v>445</v>
      </c>
      <c r="C47" s="20"/>
      <c r="D47" s="20"/>
      <c r="E47" s="20"/>
      <c r="F47" s="20"/>
      <c r="G47" s="20"/>
    </row>
    <row r="48" spans="2:7" x14ac:dyDescent="0.2">
      <c r="B48" s="3" t="s">
        <v>446</v>
      </c>
      <c r="C48" s="37">
        <v>30</v>
      </c>
      <c r="D48" s="37">
        <v>45</v>
      </c>
      <c r="E48" s="37">
        <v>60</v>
      </c>
      <c r="F48" s="37">
        <v>75</v>
      </c>
    </row>
    <row r="49" spans="2:8" x14ac:dyDescent="0.2">
      <c r="B49" s="2" t="s">
        <v>447</v>
      </c>
      <c r="C49" s="21">
        <f>235000*1.23*C48/30</f>
        <v>289050</v>
      </c>
      <c r="D49" s="21">
        <f>235000*1.23*D48/30</f>
        <v>433575</v>
      </c>
      <c r="E49" s="21">
        <f>235000*1.23*E48/30</f>
        <v>578100</v>
      </c>
      <c r="F49" s="21">
        <f>235000*1.23*F48/30</f>
        <v>722625</v>
      </c>
    </row>
    <row r="51" spans="2:8" ht="15" customHeight="1" x14ac:dyDescent="0.2">
      <c r="B51" s="49" t="s">
        <v>448</v>
      </c>
      <c r="C51" s="49"/>
      <c r="D51" s="49"/>
      <c r="E51" s="49"/>
      <c r="F51" s="49"/>
      <c r="G51" s="49"/>
      <c r="H51" s="49"/>
    </row>
  </sheetData>
  <mergeCells count="3">
    <mergeCell ref="B1:H1"/>
    <mergeCell ref="B2:H2"/>
    <mergeCell ref="B51:H51"/>
  </mergeCells>
  <conditionalFormatting sqref="C18:E18">
    <cfRule type="colorScale" priority="2">
      <colorScale>
        <cfvo type="num" val="-100000"/>
        <cfvo type="num" val="0"/>
        <cfvo type="num" val="200000"/>
        <color rgb="FFF8696B"/>
        <color rgb="FFFFEB84"/>
        <color rgb="FF63BE7B"/>
      </colorScale>
    </cfRule>
  </conditionalFormatting>
  <conditionalFormatting sqref="C23:G23">
    <cfRule type="colorScale" priority="3">
      <colorScale>
        <cfvo type="num" val="-100000"/>
        <cfvo type="num" val="0"/>
        <cfvo type="num" val="200000"/>
        <color rgb="FFF8696B"/>
        <color rgb="FFFFEB84"/>
        <color rgb="FF63BE7B"/>
      </colorScale>
    </cfRule>
  </conditionalFormatting>
  <conditionalFormatting sqref="C25:G25">
    <cfRule type="colorScale" priority="4">
      <colorScale>
        <cfvo type="num" val="-100000"/>
        <cfvo type="num" val="0"/>
        <cfvo type="num" val="200000"/>
        <color rgb="FFF8696B"/>
        <color rgb="FFFFEB84"/>
        <color rgb="FF63BE7B"/>
      </colorScale>
    </cfRule>
  </conditionalFormatting>
  <conditionalFormatting sqref="C27:G27">
    <cfRule type="colorScale" priority="5">
      <colorScale>
        <cfvo type="num" val="-100000"/>
        <cfvo type="num" val="0"/>
        <cfvo type="num" val="200000"/>
        <color rgb="FFF8696B"/>
        <color rgb="FFFFEB84"/>
        <color rgb="FF63BE7B"/>
      </colorScale>
    </cfRule>
  </conditionalFormatting>
  <conditionalFormatting sqref="C29:G29">
    <cfRule type="colorScale" priority="6">
      <colorScale>
        <cfvo type="num" val="-100000"/>
        <cfvo type="num" val="0"/>
        <cfvo type="num" val="200000"/>
        <color rgb="FFF8696B"/>
        <color rgb="FFFFEB84"/>
        <color rgb="FF63BE7B"/>
      </colorScale>
    </cfRule>
  </conditionalFormatting>
  <conditionalFormatting sqref="C31:G31">
    <cfRule type="colorScale" priority="7">
      <colorScale>
        <cfvo type="num" val="-100000"/>
        <cfvo type="num" val="0"/>
        <cfvo type="num" val="200000"/>
        <color rgb="FFF8696B"/>
        <color rgb="FFFFEB84"/>
        <color rgb="FF63BE7B"/>
      </colorScale>
    </cfRule>
  </conditionalFormatting>
  <conditionalFormatting sqref="C33:G33">
    <cfRule type="colorScale" priority="8">
      <colorScale>
        <cfvo type="num" val="-100000"/>
        <cfvo type="num" val="0"/>
        <cfvo type="num" val="200000"/>
        <color rgb="FFF8696B"/>
        <color rgb="FFFFEB84"/>
        <color rgb="FF63BE7B"/>
      </colorScale>
    </cfRule>
  </conditionalFormatting>
  <conditionalFormatting sqref="C37:G41">
    <cfRule type="colorScale" priority="9">
      <colorScale>
        <cfvo type="num" val="-100000"/>
        <cfvo type="num" val="0"/>
        <cfvo type="num" val="200000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8"/>
  <sheetViews>
    <sheetView showGridLines="0" zoomScale="75" zoomScaleNormal="100" workbookViewId="0">
      <selection activeCell="B31" sqref="B31:E31"/>
    </sheetView>
  </sheetViews>
  <sheetFormatPr baseColWidth="10" defaultColWidth="8.6640625" defaultRowHeight="15" x14ac:dyDescent="0.2"/>
  <cols>
    <col min="1" max="1" width="2.5" customWidth="1"/>
    <col min="2" max="2" width="46" customWidth="1"/>
    <col min="3" max="3" width="16" customWidth="1"/>
    <col min="4" max="4" width="12" customWidth="1"/>
    <col min="5" max="5" width="46" customWidth="1"/>
  </cols>
  <sheetData>
    <row r="1" spans="1:12" ht="24" customHeight="1" x14ac:dyDescent="0.2">
      <c r="A1" s="53"/>
      <c r="B1" s="55" t="s">
        <v>449</v>
      </c>
      <c r="C1" s="55"/>
      <c r="D1" s="55"/>
      <c r="E1" s="55"/>
      <c r="F1" s="53"/>
      <c r="G1" s="53"/>
      <c r="H1" s="53"/>
      <c r="I1" s="53"/>
      <c r="J1" s="71"/>
      <c r="K1" s="71"/>
      <c r="L1" s="71"/>
    </row>
    <row r="2" spans="1:12" x14ac:dyDescent="0.2">
      <c r="A2" s="53"/>
      <c r="B2" s="53"/>
      <c r="C2" s="53"/>
      <c r="D2" s="53"/>
      <c r="E2" s="53"/>
      <c r="F2" s="53"/>
      <c r="G2" s="53"/>
      <c r="H2" s="53"/>
      <c r="I2" s="53"/>
      <c r="J2" s="71"/>
      <c r="K2" s="71"/>
      <c r="L2" s="71"/>
    </row>
    <row r="3" spans="1:12" ht="19.5" customHeight="1" x14ac:dyDescent="0.2">
      <c r="A3" s="53"/>
      <c r="B3" s="56" t="s">
        <v>450</v>
      </c>
      <c r="C3" s="56"/>
      <c r="D3" s="56"/>
      <c r="E3" s="56"/>
      <c r="F3" s="53"/>
      <c r="G3" s="53"/>
      <c r="H3" s="53"/>
      <c r="I3" s="53"/>
      <c r="J3" s="71"/>
      <c r="K3" s="71"/>
      <c r="L3" s="71"/>
    </row>
    <row r="4" spans="1:12" ht="15" customHeight="1" x14ac:dyDescent="0.2">
      <c r="A4" s="53"/>
      <c r="B4" s="57" t="s">
        <v>451</v>
      </c>
      <c r="C4" s="57" t="s">
        <v>452</v>
      </c>
      <c r="D4" s="57" t="s">
        <v>453</v>
      </c>
      <c r="E4" s="57" t="s">
        <v>454</v>
      </c>
      <c r="F4" s="53"/>
      <c r="G4" s="53"/>
      <c r="H4" s="53"/>
      <c r="I4" s="53"/>
      <c r="J4" s="71"/>
      <c r="K4" s="71"/>
      <c r="L4" s="71"/>
    </row>
    <row r="5" spans="1:12" ht="15.75" customHeight="1" x14ac:dyDescent="0.2">
      <c r="A5" s="53"/>
      <c r="B5" s="58" t="s">
        <v>455</v>
      </c>
      <c r="C5" s="59">
        <f>CEILING(Pressupostos_Assumpt!C30*(1+Pressupostos_Assumpt!C31),1)*Pressupostos_Assumpt!C32</f>
        <v>23200</v>
      </c>
      <c r="D5" s="59">
        <f t="shared" ref="D5:D15" si="0">C5*12</f>
        <v>278400</v>
      </c>
      <c r="E5" s="60" t="s">
        <v>456</v>
      </c>
      <c r="F5" s="53"/>
      <c r="G5" s="53"/>
      <c r="H5" s="53"/>
      <c r="I5" s="53"/>
      <c r="J5" s="71"/>
      <c r="K5" s="71"/>
      <c r="L5" s="71"/>
    </row>
    <row r="6" spans="1:12" ht="15.75" customHeight="1" x14ac:dyDescent="0.2">
      <c r="A6" s="53"/>
      <c r="B6" s="58" t="s">
        <v>321</v>
      </c>
      <c r="C6" s="59">
        <f>CEILING(Pressupostos_Assumpt!C30*(1+Pressupostos_Assumpt!C31),1)*Pressupostos_Assumpt!C33</f>
        <v>3480</v>
      </c>
      <c r="D6" s="59">
        <f t="shared" si="0"/>
        <v>41760</v>
      </c>
      <c r="E6" s="60" t="s">
        <v>457</v>
      </c>
      <c r="F6" s="53"/>
      <c r="G6" s="53"/>
      <c r="H6" s="53"/>
      <c r="I6" s="53"/>
      <c r="J6" s="71"/>
      <c r="K6" s="71"/>
      <c r="L6" s="71"/>
    </row>
    <row r="7" spans="1:12" ht="15.75" customHeight="1" x14ac:dyDescent="0.2">
      <c r="A7" s="53"/>
      <c r="B7" s="58" t="s">
        <v>322</v>
      </c>
      <c r="C7" s="59">
        <f>CEILING(Pressupostos_Assumpt!C30*(1+Pressupostos_Assumpt!C31),1)*Pressupostos_Assumpt!C34</f>
        <v>4350</v>
      </c>
      <c r="D7" s="59">
        <f t="shared" si="0"/>
        <v>52200</v>
      </c>
      <c r="E7" s="60" t="s">
        <v>458</v>
      </c>
      <c r="F7" s="53"/>
      <c r="G7" s="53"/>
      <c r="H7" s="53"/>
      <c r="I7" s="53"/>
      <c r="J7" s="71"/>
      <c r="K7" s="71"/>
      <c r="L7" s="71"/>
    </row>
    <row r="8" spans="1:12" ht="15.75" customHeight="1" x14ac:dyDescent="0.2">
      <c r="A8" s="53"/>
      <c r="B8" s="58" t="s">
        <v>330</v>
      </c>
      <c r="C8" s="59">
        <f>Pressupostos_Assumpt!C78</f>
        <v>2000</v>
      </c>
      <c r="D8" s="59">
        <f t="shared" si="0"/>
        <v>24000</v>
      </c>
      <c r="E8" s="60" t="s">
        <v>402</v>
      </c>
      <c r="F8" s="53"/>
      <c r="G8" s="53"/>
      <c r="H8" s="53"/>
      <c r="I8" s="53"/>
      <c r="J8" s="71"/>
      <c r="K8" s="71"/>
      <c r="L8" s="71"/>
    </row>
    <row r="9" spans="1:12" ht="15.75" customHeight="1" x14ac:dyDescent="0.2">
      <c r="A9" s="53"/>
      <c r="B9" s="58" t="s">
        <v>459</v>
      </c>
      <c r="C9" s="59">
        <f>Pressupostos_Assumpt!C46</f>
        <v>2466.75</v>
      </c>
      <c r="D9" s="59">
        <f t="shared" si="0"/>
        <v>29601</v>
      </c>
      <c r="E9" s="60" t="s">
        <v>460</v>
      </c>
      <c r="F9" s="53"/>
      <c r="G9" s="53"/>
      <c r="H9" s="53"/>
      <c r="I9" s="53"/>
      <c r="J9" s="71"/>
      <c r="K9" s="71"/>
      <c r="L9" s="71"/>
    </row>
    <row r="10" spans="1:12" ht="15.75" customHeight="1" x14ac:dyDescent="0.2">
      <c r="A10" s="53"/>
      <c r="B10" s="58" t="s">
        <v>461</v>
      </c>
      <c r="C10" s="59">
        <f>Pressupostos_Assumpt!C63*(1+Pressupostos_Assumpt!C42)</f>
        <v>1544.4</v>
      </c>
      <c r="D10" s="59">
        <f t="shared" si="0"/>
        <v>18532.800000000003</v>
      </c>
      <c r="E10" s="60" t="s">
        <v>460</v>
      </c>
      <c r="F10" s="53"/>
      <c r="G10" s="53"/>
      <c r="H10" s="53"/>
      <c r="I10" s="53"/>
      <c r="J10" s="71"/>
      <c r="K10" s="71"/>
      <c r="L10" s="71"/>
    </row>
    <row r="11" spans="1:12" ht="15.75" customHeight="1" x14ac:dyDescent="0.2">
      <c r="A11" s="53"/>
      <c r="B11" s="58" t="s">
        <v>164</v>
      </c>
      <c r="C11" s="59">
        <f>Pressupostos_Assumpt!C69</f>
        <v>200</v>
      </c>
      <c r="D11" s="59">
        <f t="shared" si="0"/>
        <v>2400</v>
      </c>
      <c r="E11" s="60" t="s">
        <v>462</v>
      </c>
      <c r="F11" s="53"/>
      <c r="G11" s="53"/>
      <c r="H11" s="53"/>
      <c r="I11" s="53"/>
      <c r="J11" s="71"/>
      <c r="K11" s="71"/>
      <c r="L11" s="71"/>
    </row>
    <row r="12" spans="1:12" ht="15.75" customHeight="1" x14ac:dyDescent="0.2">
      <c r="A12" s="53"/>
      <c r="B12" s="58" t="s">
        <v>463</v>
      </c>
      <c r="C12" s="59">
        <f>Pressupostos_Assumpt!C70</f>
        <v>250</v>
      </c>
      <c r="D12" s="59">
        <f t="shared" si="0"/>
        <v>3000</v>
      </c>
      <c r="E12" s="60" t="s">
        <v>462</v>
      </c>
      <c r="F12" s="53"/>
      <c r="G12" s="53"/>
      <c r="H12" s="53"/>
      <c r="I12" s="53"/>
      <c r="J12" s="71"/>
      <c r="K12" s="71"/>
      <c r="L12" s="71"/>
    </row>
    <row r="13" spans="1:12" ht="15.75" customHeight="1" x14ac:dyDescent="0.2">
      <c r="A13" s="53"/>
      <c r="B13" s="58" t="s">
        <v>464</v>
      </c>
      <c r="C13" s="59">
        <f>25*Pressupostos_Assumpt!C71</f>
        <v>375</v>
      </c>
      <c r="D13" s="59">
        <f t="shared" si="0"/>
        <v>4500</v>
      </c>
      <c r="E13" s="60" t="s">
        <v>462</v>
      </c>
      <c r="F13" s="53"/>
      <c r="G13" s="53"/>
      <c r="H13" s="53"/>
      <c r="I13" s="53"/>
      <c r="J13" s="71"/>
      <c r="K13" s="71"/>
      <c r="L13" s="71"/>
    </row>
    <row r="14" spans="1:12" ht="15.75" customHeight="1" x14ac:dyDescent="0.2">
      <c r="A14" s="53"/>
      <c r="B14" s="58" t="s">
        <v>465</v>
      </c>
      <c r="C14" s="59">
        <f>Pressupostos_Assumpt!C72</f>
        <v>300</v>
      </c>
      <c r="D14" s="59">
        <f t="shared" si="0"/>
        <v>3600</v>
      </c>
      <c r="E14" s="60" t="s">
        <v>462</v>
      </c>
      <c r="F14" s="53"/>
      <c r="G14" s="53"/>
      <c r="H14" s="53"/>
      <c r="I14" s="53"/>
      <c r="J14" s="71"/>
      <c r="K14" s="71"/>
      <c r="L14" s="71"/>
    </row>
    <row r="15" spans="1:12" ht="15" customHeight="1" x14ac:dyDescent="0.2">
      <c r="A15" s="53"/>
      <c r="B15" s="61" t="s">
        <v>466</v>
      </c>
      <c r="C15" s="62">
        <f>SUM(C5:C14)</f>
        <v>38166.15</v>
      </c>
      <c r="D15" s="62">
        <f t="shared" si="0"/>
        <v>457993.80000000005</v>
      </c>
      <c r="E15" s="53"/>
      <c r="F15" s="53"/>
      <c r="G15" s="53"/>
      <c r="H15" s="53"/>
      <c r="I15" s="53"/>
      <c r="J15" s="71"/>
      <c r="K15" s="71"/>
      <c r="L15" s="71"/>
    </row>
    <row r="16" spans="1:12" x14ac:dyDescent="0.2">
      <c r="A16" s="53"/>
      <c r="B16" s="53"/>
      <c r="C16" s="53"/>
      <c r="D16" s="53"/>
      <c r="E16" s="53"/>
      <c r="F16" s="53"/>
      <c r="G16" s="53"/>
      <c r="H16" s="53"/>
      <c r="I16" s="53"/>
      <c r="J16" s="71"/>
      <c r="K16" s="71"/>
      <c r="L16" s="71"/>
    </row>
    <row r="17" spans="1:12" ht="19.5" customHeight="1" x14ac:dyDescent="0.2">
      <c r="A17" s="53"/>
      <c r="B17" s="56" t="s">
        <v>467</v>
      </c>
      <c r="C17" s="56"/>
      <c r="D17" s="56"/>
      <c r="E17" s="56"/>
      <c r="F17" s="53"/>
      <c r="G17" s="53"/>
      <c r="H17" s="53"/>
      <c r="I17" s="53"/>
      <c r="J17" s="71"/>
      <c r="K17" s="71"/>
      <c r="L17" s="71"/>
    </row>
    <row r="18" spans="1:12" ht="15" customHeight="1" x14ac:dyDescent="0.2">
      <c r="A18" s="53"/>
      <c r="B18" s="57" t="s">
        <v>451</v>
      </c>
      <c r="C18" s="57" t="s">
        <v>61</v>
      </c>
      <c r="D18" s="57" t="s">
        <v>468</v>
      </c>
      <c r="E18" s="57" t="s">
        <v>454</v>
      </c>
      <c r="F18" s="53"/>
      <c r="G18" s="53"/>
      <c r="H18" s="53"/>
      <c r="I18" s="53"/>
      <c r="J18" s="71"/>
      <c r="K18" s="71"/>
      <c r="L18" s="71"/>
    </row>
    <row r="19" spans="1:12" ht="15.75" customHeight="1" x14ac:dyDescent="0.2">
      <c r="A19" s="53"/>
      <c r="B19" s="58" t="s">
        <v>7</v>
      </c>
      <c r="C19" s="63">
        <f>Pressupostos_Assumpt!C8</f>
        <v>161.1</v>
      </c>
      <c r="D19" s="64" t="s">
        <v>468</v>
      </c>
      <c r="E19" s="60" t="s">
        <v>469</v>
      </c>
      <c r="F19" s="53"/>
      <c r="G19" s="53"/>
      <c r="H19" s="53"/>
      <c r="I19" s="53"/>
      <c r="J19" s="71"/>
      <c r="K19" s="71"/>
      <c r="L19" s="71"/>
    </row>
    <row r="20" spans="1:12" ht="15.75" customHeight="1" x14ac:dyDescent="0.2">
      <c r="A20" s="53"/>
      <c r="B20" s="58" t="s">
        <v>470</v>
      </c>
      <c r="C20" s="63">
        <f>Pressupostos_Assumpt!C11*Pressupostos_Assumpt!C12</f>
        <v>6.88</v>
      </c>
      <c r="D20" s="64" t="s">
        <v>468</v>
      </c>
      <c r="E20" s="60" t="s">
        <v>471</v>
      </c>
      <c r="F20" s="53"/>
      <c r="G20" s="53"/>
      <c r="H20" s="53"/>
      <c r="I20" s="53"/>
      <c r="J20" s="71"/>
      <c r="K20" s="71"/>
      <c r="L20" s="71"/>
    </row>
    <row r="21" spans="1:12" ht="15.75" customHeight="1" x14ac:dyDescent="0.2">
      <c r="A21" s="53"/>
      <c r="B21" s="58" t="s">
        <v>472</v>
      </c>
      <c r="C21" s="63">
        <f>Pressupostos_Assumpt!C16</f>
        <v>11.55</v>
      </c>
      <c r="D21" s="64" t="s">
        <v>468</v>
      </c>
      <c r="E21" s="60" t="s">
        <v>473</v>
      </c>
      <c r="F21" s="53"/>
      <c r="G21" s="53"/>
      <c r="H21" s="53"/>
      <c r="I21" s="53"/>
      <c r="J21" s="71"/>
      <c r="K21" s="71"/>
      <c r="L21" s="71"/>
    </row>
    <row r="22" spans="1:12" ht="15.75" customHeight="1" x14ac:dyDescent="0.2">
      <c r="A22" s="53"/>
      <c r="B22" s="58" t="s">
        <v>474</v>
      </c>
      <c r="C22" s="63">
        <f>Pressupostos_Assumpt!C17</f>
        <v>3.5</v>
      </c>
      <c r="D22" s="64" t="s">
        <v>468</v>
      </c>
      <c r="E22" s="60" t="s">
        <v>475</v>
      </c>
      <c r="F22" s="53"/>
      <c r="G22" s="53"/>
      <c r="H22" s="53"/>
      <c r="I22" s="53"/>
      <c r="J22" s="71"/>
      <c r="K22" s="71"/>
      <c r="L22" s="71"/>
    </row>
    <row r="23" spans="1:12" ht="15" customHeight="1" x14ac:dyDescent="0.2">
      <c r="A23" s="53"/>
      <c r="B23" s="61" t="s">
        <v>476</v>
      </c>
      <c r="C23" s="65">
        <f>SUM(C19:C22)</f>
        <v>183.03</v>
      </c>
      <c r="D23" s="66" t="s">
        <v>468</v>
      </c>
      <c r="E23" s="53"/>
      <c r="F23" s="53"/>
      <c r="G23" s="53"/>
      <c r="H23" s="53"/>
      <c r="I23" s="53"/>
      <c r="J23" s="71"/>
      <c r="K23" s="71"/>
      <c r="L23" s="71"/>
    </row>
    <row r="24" spans="1:12" x14ac:dyDescent="0.2">
      <c r="A24" s="53"/>
      <c r="B24" s="53"/>
      <c r="C24" s="53"/>
      <c r="D24" s="53"/>
      <c r="E24" s="53"/>
      <c r="F24" s="53"/>
      <c r="G24" s="53"/>
      <c r="H24" s="53"/>
      <c r="I24" s="53"/>
      <c r="J24" s="71"/>
      <c r="K24" s="71"/>
      <c r="L24" s="71"/>
    </row>
    <row r="25" spans="1:12" ht="19.5" customHeight="1" x14ac:dyDescent="0.2">
      <c r="A25" s="53"/>
      <c r="B25" s="56" t="s">
        <v>477</v>
      </c>
      <c r="C25" s="56"/>
      <c r="D25" s="56"/>
      <c r="E25" s="56"/>
      <c r="F25" s="53"/>
      <c r="G25" s="53"/>
      <c r="H25" s="53"/>
      <c r="I25" s="53"/>
      <c r="J25" s="71"/>
      <c r="K25" s="71"/>
      <c r="L25" s="71"/>
    </row>
    <row r="26" spans="1:12" ht="15" customHeight="1" x14ac:dyDescent="0.2">
      <c r="A26" s="53"/>
      <c r="B26" s="57" t="s">
        <v>451</v>
      </c>
      <c r="C26" s="57" t="s">
        <v>61</v>
      </c>
      <c r="D26" s="57" t="s">
        <v>468</v>
      </c>
      <c r="E26" s="57" t="s">
        <v>454</v>
      </c>
      <c r="F26" s="53"/>
      <c r="G26" s="53"/>
      <c r="H26" s="53"/>
      <c r="I26" s="53"/>
      <c r="J26" s="71"/>
      <c r="K26" s="71"/>
      <c r="L26" s="71"/>
    </row>
    <row r="27" spans="1:12" ht="15.75" customHeight="1" x14ac:dyDescent="0.2">
      <c r="A27" s="53"/>
      <c r="B27" s="58" t="s">
        <v>478</v>
      </c>
      <c r="C27" s="63">
        <f>Pressupostos_Assumpt!C41*Pressupostos_Assumpt!C54*(1+Pressupostos_Assumpt!C42)/Pressupostos_Assumpt!C26</f>
        <v>70.52500000000002</v>
      </c>
      <c r="D27" s="64" t="s">
        <v>468</v>
      </c>
      <c r="E27" s="60" t="s">
        <v>479</v>
      </c>
      <c r="F27" s="53"/>
      <c r="G27" s="53"/>
      <c r="H27" s="53"/>
      <c r="I27" s="53"/>
      <c r="J27" s="71"/>
      <c r="K27" s="71"/>
      <c r="L27" s="71"/>
    </row>
    <row r="28" spans="1:12" ht="15.75" customHeight="1" x14ac:dyDescent="0.2">
      <c r="A28" s="53"/>
      <c r="B28" s="58" t="s">
        <v>480</v>
      </c>
      <c r="C28" s="63">
        <f>Pressupostos_Assumpt!C56</f>
        <v>6</v>
      </c>
      <c r="D28" s="64" t="s">
        <v>468</v>
      </c>
      <c r="E28" s="60" t="s">
        <v>481</v>
      </c>
      <c r="F28" s="53"/>
      <c r="G28" s="53"/>
      <c r="H28" s="53"/>
      <c r="I28" s="53"/>
      <c r="J28" s="71"/>
      <c r="K28" s="71"/>
      <c r="L28" s="71"/>
    </row>
    <row r="29" spans="1:12" ht="15" customHeight="1" x14ac:dyDescent="0.2">
      <c r="A29" s="53"/>
      <c r="B29" s="61" t="s">
        <v>482</v>
      </c>
      <c r="C29" s="65">
        <f>SUM(C27:C28)</f>
        <v>76.52500000000002</v>
      </c>
      <c r="D29" s="66" t="s">
        <v>468</v>
      </c>
      <c r="E29" s="53"/>
      <c r="F29" s="53"/>
      <c r="G29" s="53"/>
      <c r="H29" s="53"/>
      <c r="I29" s="53"/>
      <c r="J29" s="71"/>
      <c r="K29" s="71"/>
      <c r="L29" s="71"/>
    </row>
    <row r="30" spans="1:12" x14ac:dyDescent="0.2">
      <c r="A30" s="53"/>
      <c r="B30" s="53"/>
      <c r="C30" s="53"/>
      <c r="D30" s="53"/>
      <c r="E30" s="53"/>
      <c r="F30" s="53"/>
      <c r="G30" s="53"/>
      <c r="H30" s="53"/>
      <c r="I30" s="53"/>
      <c r="J30" s="71"/>
      <c r="K30" s="71"/>
      <c r="L30" s="71"/>
    </row>
    <row r="31" spans="1:12" ht="19.5" customHeight="1" x14ac:dyDescent="0.2">
      <c r="A31" s="53"/>
      <c r="B31" s="56" t="s">
        <v>483</v>
      </c>
      <c r="C31" s="56"/>
      <c r="D31" s="56"/>
      <c r="E31" s="56"/>
      <c r="F31" s="53"/>
      <c r="G31" s="53"/>
      <c r="H31" s="53"/>
      <c r="I31" s="53"/>
      <c r="J31" s="71"/>
      <c r="K31" s="71"/>
      <c r="L31" s="71"/>
    </row>
    <row r="32" spans="1:12" ht="15" customHeight="1" x14ac:dyDescent="0.2">
      <c r="A32" s="53"/>
      <c r="B32" s="57" t="s">
        <v>484</v>
      </c>
      <c r="C32" s="57" t="s">
        <v>485</v>
      </c>
      <c r="D32" s="57" t="s">
        <v>486</v>
      </c>
      <c r="E32" s="57" t="s">
        <v>487</v>
      </c>
      <c r="F32" s="53"/>
      <c r="G32" s="53"/>
      <c r="H32" s="53"/>
      <c r="I32" s="53"/>
      <c r="J32" s="71"/>
      <c r="K32" s="71"/>
      <c r="L32" s="71"/>
    </row>
    <row r="33" spans="1:12" ht="15.75" customHeight="1" x14ac:dyDescent="0.2">
      <c r="A33" s="53"/>
      <c r="B33" s="58" t="s">
        <v>488</v>
      </c>
      <c r="C33" s="63">
        <f>C23-C29</f>
        <v>106.50499999999998</v>
      </c>
      <c r="D33" s="67" t="s">
        <v>61</v>
      </c>
      <c r="E33" s="60" t="s">
        <v>489</v>
      </c>
      <c r="F33" s="53"/>
      <c r="G33" s="53"/>
      <c r="H33" s="53"/>
      <c r="I33" s="53"/>
      <c r="J33" s="71"/>
      <c r="K33" s="71"/>
      <c r="L33" s="71"/>
    </row>
    <row r="34" spans="1:12" ht="15.75" customHeight="1" x14ac:dyDescent="0.2">
      <c r="A34" s="53"/>
      <c r="B34" s="61" t="s">
        <v>490</v>
      </c>
      <c r="C34" s="68">
        <f>CEILING(C15/C33,1)</f>
        <v>359</v>
      </c>
      <c r="D34" s="67" t="s">
        <v>491</v>
      </c>
      <c r="E34" s="60" t="s">
        <v>492</v>
      </c>
      <c r="F34" s="53"/>
      <c r="G34" s="53"/>
      <c r="H34" s="53"/>
      <c r="I34" s="53"/>
      <c r="J34" s="71"/>
      <c r="K34" s="71"/>
      <c r="L34" s="71"/>
    </row>
    <row r="35" spans="1:12" ht="15.75" customHeight="1" x14ac:dyDescent="0.2">
      <c r="A35" s="53"/>
      <c r="B35" s="61" t="s">
        <v>493</v>
      </c>
      <c r="C35" s="69">
        <f>CEILING(C34/Pressupostos_Assumpt!C26,0.5)</f>
        <v>16.5</v>
      </c>
      <c r="D35" s="67" t="s">
        <v>87</v>
      </c>
      <c r="E35" s="60" t="s">
        <v>494</v>
      </c>
      <c r="F35" s="53"/>
      <c r="G35" s="53"/>
      <c r="H35" s="53"/>
      <c r="I35" s="53"/>
      <c r="J35" s="71"/>
      <c r="K35" s="71"/>
      <c r="L35" s="71"/>
    </row>
    <row r="36" spans="1:12" ht="15.75" customHeight="1" x14ac:dyDescent="0.2">
      <c r="A36" s="53"/>
      <c r="B36" s="61" t="s">
        <v>495</v>
      </c>
      <c r="C36" s="70">
        <f>(Pressupostos_Assumpt!C23*Pressupostos_Assumpt!C26-C34)/(Pressupostos_Assumpt!C23*Pressupostos_Assumpt!C26)</f>
        <v>0.34727272727272729</v>
      </c>
      <c r="D36" s="67" t="s">
        <v>101</v>
      </c>
      <c r="E36" s="60" t="s">
        <v>496</v>
      </c>
      <c r="F36" s="53"/>
      <c r="G36" s="53"/>
      <c r="H36" s="53"/>
      <c r="I36" s="53"/>
      <c r="J36" s="71"/>
      <c r="K36" s="71"/>
      <c r="L36" s="71"/>
    </row>
    <row r="37" spans="1:12" x14ac:dyDescent="0.2">
      <c r="A37" s="53"/>
      <c r="B37" s="53"/>
      <c r="C37" s="53"/>
      <c r="D37" s="53"/>
      <c r="E37" s="53"/>
      <c r="F37" s="53"/>
      <c r="G37" s="53"/>
      <c r="H37" s="53"/>
      <c r="I37" s="53"/>
      <c r="J37" s="71"/>
      <c r="K37" s="71"/>
      <c r="L37" s="71"/>
    </row>
    <row r="38" spans="1:12" x14ac:dyDescent="0.2">
      <c r="A38" s="53"/>
      <c r="B38" s="53"/>
      <c r="C38" s="53"/>
      <c r="D38" s="53"/>
      <c r="E38" s="53"/>
      <c r="F38" s="53"/>
      <c r="G38" s="53"/>
      <c r="H38" s="53"/>
      <c r="I38" s="53"/>
      <c r="J38" s="71"/>
      <c r="K38" s="71"/>
      <c r="L38" s="71"/>
    </row>
  </sheetData>
  <mergeCells count="5">
    <mergeCell ref="B1:E1"/>
    <mergeCell ref="B3:E3"/>
    <mergeCell ref="B17:E17"/>
    <mergeCell ref="B25:E25"/>
    <mergeCell ref="B31:E3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Capa_Cover</vt:lpstr>
      <vt:lpstr>Pressupostos_Assumpt</vt:lpstr>
      <vt:lpstr>Operacao_Operations</vt:lpstr>
      <vt:lpstr>Receita_Revenue</vt:lpstr>
      <vt:lpstr>Salarios_Wages</vt:lpstr>
      <vt:lpstr>Custos_Costs</vt:lpstr>
      <vt:lpstr>DRE_PL</vt:lpstr>
      <vt:lpstr>Tesouraria_CashFlow</vt:lpstr>
      <vt:lpstr>IVA_VAT</vt:lpstr>
      <vt:lpstr>Analise_Analysis</vt:lpstr>
      <vt:lpstr>Sensibilidades</vt:lpstr>
      <vt:lpstr>PontoCritico_BreakEven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Manuel Veríssimo de Campos Ribeiro Carreira</cp:lastModifiedBy>
  <cp:revision>3</cp:revision>
  <dcterms:created xsi:type="dcterms:W3CDTF">2026-06-08T21:50:29Z</dcterms:created>
  <dcterms:modified xsi:type="dcterms:W3CDTF">2026-06-10T16:26:00Z</dcterms:modified>
  <dc:language>en-US</dc:language>
</cp:coreProperties>
</file>